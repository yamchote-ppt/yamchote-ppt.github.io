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file\teaching\assets\720401-B3-1-2563\file\"/>
    </mc:Choice>
  </mc:AlternateContent>
  <xr:revisionPtr revIDLastSave="0" documentId="13_ncr:1_{9D4D8233-BCA4-4BE0-A902-12C6937CBFFC}" xr6:coauthVersionLast="47" xr6:coauthVersionMax="47" xr10:uidLastSave="{00000000-0000-0000-0000-000000000000}"/>
  <bookViews>
    <workbookView xWindow="-21735" yWindow="18765" windowWidth="21600" windowHeight="11835" firstSheet="6" activeTab="12" xr2:uid="{90636E8B-44F7-4581-B138-B483E1CC75E1}"/>
  </bookViews>
  <sheets>
    <sheet name="outline" sheetId="10" r:id="rId1"/>
    <sheet name="exercise 1" sheetId="1" r:id="rId2"/>
    <sheet name="exercise 2" sheetId="2" r:id="rId3"/>
    <sheet name="Challenge คิดเกรดเฉลี่ย" sheetId="3" r:id="rId4"/>
    <sheet name="exercise 3 IF" sheetId="4" r:id="rId5"/>
    <sheet name="exercise 3 IF (2)" sheetId="5" r:id="rId6"/>
    <sheet name="exercise 3 IF (3)" sheetId="6" r:id="rId7"/>
    <sheet name="exercise 4 function with IF" sheetId="7" r:id="rId8"/>
    <sheet name="exercise 5 logical operation" sheetId="9" r:id="rId9"/>
    <sheet name="Assignments " sheetId="11" r:id="rId10"/>
    <sheet name="exercise 6 VLOOKUP and XLOOKUP" sheetId="13" r:id="rId11"/>
    <sheet name="exercise 7 VLOOKUP TRUE range" sheetId="14" r:id="rId12"/>
    <sheet name="exercise 9 text processing" sheetId="16" r:id="rId13"/>
  </sheets>
  <definedNames>
    <definedName name="Customer_Name">'exercise 6 VLOOKUP and XLOOKUP'!$B$2:$B$1048576</definedName>
    <definedName name="Order_ID">'exercise 6 VLOOKUP and XLOOKUP'!$A$2:$A$1048576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3" l="1"/>
  <c r="C105" i="13"/>
  <c r="D104" i="13"/>
  <c r="C10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tc={47FF4251-927B-4112-A6E5-DFDB5B2F7D0D}</author>
    <author>tc={04870B3B-C403-4285-A633-FE4E38D6BA66}</author>
    <author>tc={5B60D31F-8659-4966-A7A2-2039501CC110}</author>
    <author>tc={45F4713A-3939-4A47-990A-C25D20CD8211}</author>
  </authors>
  <commentList>
    <comment ref="L2" authorId="0" shapeId="0" xr:uid="{47FF4251-927B-4112-A6E5-DFDB5B2F7D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operator it always opposite if true then it return false 
if false then return true</t>
      </text>
    </comment>
    <comment ref="D10" authorId="1" shapeId="0" xr:uid="{04870B3B-C403-4285-A633-FE4E38D6BA66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any one conditions are true then returns true and if both conditions are False
Then false
=IF(AND(B12 &gt;= $B$3,C12 &gt;=$B$4), B12 *$B$5, " Not Complited Goal")</t>
      </text>
    </comment>
    <comment ref="E10" authorId="2" shapeId="0" xr:uid="{5B60D31F-8659-4966-A7A2-2039501CC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If both conditions are true then only returns true otherwise False
=IF(AND(B12 &gt;= $B$3,C12 &gt;=$B$4), B12 *$B$5, " Not Complited Goal")
Reply:
    =IF(AND(B12 &gt;= $B$3, C12 &gt;=$B$4), $B$6, "Not Completed Goal")</t>
      </text>
    </comment>
    <comment ref="E11" authorId="3" shapeId="0" xr:uid="{45F4713A-3939-4A47-990A-C25D20CD82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=IF(AND(B12 &gt;= $B$3, C12 &gt;=$B$4), $B$6, "Not Completed Goal")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tc={BFCEF004-DD15-413B-AFB3-E2EF99AAF3AB}</author>
  </authors>
  <commentList>
    <comment ref="B12" authorId="0" shapeId="0" xr:uid="{BFCEF004-DD15-413B-AFB3-E2EF99AAF3AB}">
      <text>
        <t>[Threaded comment]
Your version of Excel allows you to read this threaded comment; however, any edits to it will get removed if the file is opened in a newer version of Excel. Learn more: https://go.microsoft.com/fwlink/?linkid=870924
Comment:
    =IFNA(VLOOKUP(C13,C2:E7,3),0)
Reply:
    =IFNA(VLOOKUP(C13,C2:E7,3,TRUE),0)</t>
      </text>
    </comment>
  </commentList>
</comments>
</file>

<file path=xl/sharedStrings.xml><?xml version="1.0" encoding="utf-8"?>
<sst xmlns="http://schemas.openxmlformats.org/spreadsheetml/2006/main" count="652" uniqueCount="364">
  <si>
    <t>Value 1</t>
  </si>
  <si>
    <t>Value2</t>
  </si>
  <si>
    <t>Add</t>
  </si>
  <si>
    <t xml:space="preserve">Sub </t>
  </si>
  <si>
    <t xml:space="preserve">mul </t>
  </si>
  <si>
    <t xml:space="preserve">div </t>
  </si>
  <si>
    <t>จงเขียนสูตรเพื่อคำนวณหาผลบวก (Add) ผลลบ (Sub) ผลคูณ (mul) และผลหาร (div) ของ Value 1 และ Value 2</t>
  </si>
  <si>
    <t>Value</t>
  </si>
  <si>
    <t>Weight</t>
  </si>
  <si>
    <t>ฝึกทำ absolute reference ด้วยการหาผลคูณของ Value และ weight ที่อยู่บนหัวตาราง
เช่นถ้าหัวแถวเป็นเลข 5 และหัวตารางเป็นเลข 10 ผลที่ได้ต้องเท่ากับ 5*10 ซึ่งคือ 50</t>
  </si>
  <si>
    <t>ชื่อ</t>
  </si>
  <si>
    <t>คณิตศาสตร์</t>
  </si>
  <si>
    <t>เกรดที่ได้</t>
  </si>
  <si>
    <t>วิธีการคิดเกรดเฉลี่ยคือให้นำเกรดที่ได้คูณกับหน่วยกิต แล้วหารด้วยผลรวมหน่วยกิต
สมมติว่าทุกคนในห้องรายชื่อนี้เรียนวิชาเหมือนกันหมด
จงเขียนสูตรเพื่อคำนวณหาเกรดเฉลี่ยของแต่ละคน
ปล. ชื่อสุ่มมาจาก chatGPT</t>
  </si>
  <si>
    <t>กิตติพงษ์</t>
  </si>
  <si>
    <t>ชลธิชา</t>
  </si>
  <si>
    <t>พงศกร</t>
  </si>
  <si>
    <t>ศิริพร</t>
  </si>
  <si>
    <t>ธนากร</t>
  </si>
  <si>
    <t>สุภาพร</t>
  </si>
  <si>
    <t>วรากร</t>
  </si>
  <si>
    <t>มนัสนันท์</t>
  </si>
  <si>
    <t>ภานุวัฒน์</t>
  </si>
  <si>
    <t>อรอนงค์</t>
  </si>
  <si>
    <t>รชต</t>
  </si>
  <si>
    <t>สุดารัตน์</t>
  </si>
  <si>
    <t>ธีรภัทร</t>
  </si>
  <si>
    <t>จุฑามาศ</t>
  </si>
  <si>
    <t>ปกรณ์</t>
  </si>
  <si>
    <t>ณัฐธิดา</t>
  </si>
  <si>
    <t>ภูริทัต</t>
  </si>
  <si>
    <t>สุชาดา</t>
  </si>
  <si>
    <t>ธนวัฒน์</t>
  </si>
  <si>
    <t>พิมพ์ชนก</t>
  </si>
  <si>
    <t>ผลคูณ</t>
  </si>
  <si>
    <t>วิทยาศาสตร์</t>
  </si>
  <si>
    <t>เขียนโปรแกรม</t>
  </si>
  <si>
    <t>ภาษาอังกฤษ</t>
  </si>
  <si>
    <t>ผลรวมของผลคูณทุกวิชา</t>
  </si>
  <si>
    <t>ผลรวมหน่วยกิต</t>
  </si>
  <si>
    <t>เกรดเฉลี่ย</t>
  </si>
  <si>
    <t>Name</t>
  </si>
  <si>
    <t>Salary</t>
  </si>
  <si>
    <t>Bonus</t>
  </si>
  <si>
    <t>Aarav Patel</t>
  </si>
  <si>
    <t>Priya Sharma</t>
  </si>
  <si>
    <t>Raj Singh</t>
  </si>
  <si>
    <t>Neha Gupta</t>
  </si>
  <si>
    <t>Vikram Reddy</t>
  </si>
  <si>
    <t>Ananya Desai</t>
  </si>
  <si>
    <t>Arjun Kumar</t>
  </si>
  <si>
    <t>Divya Rajput</t>
  </si>
  <si>
    <t>Sanjay Mehta</t>
  </si>
  <si>
    <t>Maya Iyer</t>
  </si>
  <si>
    <t>Rahul Sharma</t>
  </si>
  <si>
    <t>Kavita Patel</t>
  </si>
  <si>
    <t>Karan Kapoor</t>
  </si>
  <si>
    <t>Pooja Chatterjee</t>
  </si>
  <si>
    <t>Siddharth Das</t>
  </si>
  <si>
    <t>Tanvi Rao</t>
  </si>
  <si>
    <t>Aditya Sharma</t>
  </si>
  <si>
    <t>Niharika Patel</t>
  </si>
  <si>
    <t>Rohan Gupta</t>
  </si>
  <si>
    <t>Shreya Reddy</t>
  </si>
  <si>
    <t>Arnav Singh</t>
  </si>
  <si>
    <t>Aanya Kumar</t>
  </si>
  <si>
    <t>Yuvraj Mehta</t>
  </si>
  <si>
    <t>Diya Iyer</t>
  </si>
  <si>
    <t>Ankit Kapoor</t>
  </si>
  <si>
    <t>Ishita Chatterjee</t>
  </si>
  <si>
    <t>Vivek Das</t>
  </si>
  <si>
    <t>Ritu Sharma</t>
  </si>
  <si>
    <t>Mohan Gupta</t>
  </si>
  <si>
    <t>Anjali Reddy</t>
  </si>
  <si>
    <t>KPI</t>
  </si>
  <si>
    <t>โบนัสที่ได้</t>
  </si>
  <si>
    <t>State</t>
  </si>
  <si>
    <t>Year</t>
  </si>
  <si>
    <t>Coffee_Powder</t>
  </si>
  <si>
    <t>Target_Sales</t>
  </si>
  <si>
    <t>Actual_Sales</t>
  </si>
  <si>
    <t>Difference</t>
  </si>
  <si>
    <t>California</t>
  </si>
  <si>
    <t>Tea Coffee</t>
  </si>
  <si>
    <t>Herbal Coffee</t>
  </si>
  <si>
    <t>Espresso Coffee</t>
  </si>
  <si>
    <t>Coffe Powder</t>
  </si>
  <si>
    <t>Regular Coffee</t>
  </si>
  <si>
    <t>Texas</t>
  </si>
  <si>
    <t>Maximum</t>
  </si>
  <si>
    <t>Minimum</t>
  </si>
  <si>
    <t>Total</t>
  </si>
  <si>
    <t>New York</t>
  </si>
  <si>
    <t xml:space="preserve">Average </t>
  </si>
  <si>
    <t>Count</t>
  </si>
  <si>
    <t>Florida</t>
  </si>
  <si>
    <t>Illinois</t>
  </si>
  <si>
    <t>จงนับว่ามีกี่รายการที่ขายได้ตามยอดที่ตั้งไว้</t>
  </si>
  <si>
    <t>หาค่าสูงสุดของ Actual sales ในกลุ่ม State, Year และ Coffee Powder ที่เลือก</t>
  </si>
  <si>
    <t>หาค่าต่ำสุดของ Actual sales ในกลุ่ม State, Year และ Coffee Powder ที่เลือก</t>
  </si>
  <si>
    <t>หาค่าสูงสุดของ Actual sales ในกลุ่ม State, Year ที่เลือก</t>
  </si>
  <si>
    <t>หาค่าต่ำสุดของ Actual sales ในกลุ่ม State, Year ที่เลือก</t>
  </si>
  <si>
    <t>หาค่าเฉลี่ยของ Actual sales ของกลุ่ม State, Year ที่เลือก</t>
  </si>
  <si>
    <t>หาค่าผลรวมของ Actual sales ของกลุ่ม State, Year ที่เลือก</t>
  </si>
  <si>
    <t>Sales Goal</t>
  </si>
  <si>
    <t>Criteria</t>
  </si>
  <si>
    <t>Amount</t>
  </si>
  <si>
    <t>2 Conditions</t>
  </si>
  <si>
    <t>Account Goal</t>
  </si>
  <si>
    <t>Commission Rate</t>
  </si>
  <si>
    <t>Bonus Goal</t>
  </si>
  <si>
    <t>Commision Calculation with condition</t>
  </si>
  <si>
    <t>Sales Amount</t>
  </si>
  <si>
    <t>Number of Accounts</t>
  </si>
  <si>
    <t>Earned Commision ( OR)</t>
  </si>
  <si>
    <t>Earned Commision (AND)</t>
  </si>
  <si>
    <t>Rajesh</t>
  </si>
  <si>
    <t>Priya</t>
  </si>
  <si>
    <t>Amit</t>
  </si>
  <si>
    <t>Sneha</t>
  </si>
  <si>
    <t>Deepak</t>
  </si>
  <si>
    <t>Neha</t>
  </si>
  <si>
    <t>Rahul</t>
  </si>
  <si>
    <t>Anjali</t>
  </si>
  <si>
    <t>Karan</t>
  </si>
  <si>
    <t>Pooja</t>
  </si>
  <si>
    <t>Vikram</t>
  </si>
  <si>
    <t>Shreya</t>
  </si>
  <si>
    <t>Aryan</t>
  </si>
  <si>
    <t>Swati</t>
  </si>
  <si>
    <t>Aditya</t>
  </si>
  <si>
    <t>Tanvi</t>
  </si>
  <si>
    <t>Sachin</t>
  </si>
  <si>
    <t>Mira</t>
  </si>
  <si>
    <t>Ankit</t>
  </si>
  <si>
    <t>Kavya</t>
  </si>
  <si>
    <t>ชื่อ sheet</t>
  </si>
  <si>
    <t>description</t>
  </si>
  <si>
    <t>exercise 1</t>
  </si>
  <si>
    <t>exercise 2</t>
  </si>
  <si>
    <t>Challenge คิดเกรดเฉลี่ย</t>
  </si>
  <si>
    <t>exercise 3 IF</t>
  </si>
  <si>
    <t>exercise 3 IF (2)</t>
  </si>
  <si>
    <t>exercise 3 IF (3)</t>
  </si>
  <si>
    <t>exercise 4 function with IF</t>
  </si>
  <si>
    <t>exercise 5 logical operation</t>
  </si>
  <si>
    <t>ฝึกการใช้ basic operation</t>
  </si>
  <si>
    <t>ฝึกการทำ absolute referrence</t>
  </si>
  <si>
    <t>ฝึกการใช้ IF แบบ 2 output True or False</t>
  </si>
  <si>
    <t>ฝึกการใช้ IFS สำหรับลำดับการตัดสินใจหลายขั้น</t>
  </si>
  <si>
    <t>ฝึกการใช้ IFS สำหรับลำดับการตัดสินใจหลายขั้น โดยใช้การ referrence เข้ามาช่วย</t>
  </si>
  <si>
    <t>ฝึกใช้ฟังก์ชันที่มาพร้อม IF เช่น SUMIF, AVERAGEIF, MINIF เป็นต้น</t>
  </si>
  <si>
    <r>
      <t xml:space="preserve">2 เซลที่ยอดขายถึง sales goal </t>
    </r>
    <r>
      <rPr>
        <sz val="11"/>
        <color rgb="FFFF0000"/>
        <rFont val="Aptos Narrow"/>
        <family val="2"/>
        <scheme val="minor"/>
      </rPr>
      <t>และ</t>
    </r>
    <r>
      <rPr>
        <sz val="11"/>
        <color theme="1"/>
        <rFont val="Aptos Narrow"/>
        <family val="2"/>
        <scheme val="minor"/>
      </rPr>
      <t>จำนวน account ถึง account goal จะได้รับ bonus</t>
    </r>
  </si>
  <si>
    <r>
      <t>1 เซลที่ยอดขายถึง sales goal</t>
    </r>
    <r>
      <rPr>
        <sz val="11"/>
        <color rgb="FFFF0000"/>
        <rFont val="Aptos Narrow"/>
        <family val="2"/>
        <scheme val="minor"/>
      </rPr>
      <t xml:space="preserve"> หรือ</t>
    </r>
    <r>
      <rPr>
        <sz val="11"/>
        <color theme="1"/>
        <rFont val="Aptos Narrow"/>
        <family val="2"/>
        <scheme val="minor"/>
      </rPr>
      <t>จำนวน account ถึง account goal จะได้รับ commission ตามเปอร์เซนต์ใน Commission Rate</t>
    </r>
  </si>
  <si>
    <t>Rate</t>
  </si>
  <si>
    <t>Total Price After Tax</t>
  </si>
  <si>
    <t>Total Price Before Tax</t>
  </si>
  <si>
    <t>Tax</t>
  </si>
  <si>
    <t>Item Price</t>
  </si>
  <si>
    <t xml:space="preserve">No of Items </t>
  </si>
  <si>
    <t>Item No.</t>
  </si>
  <si>
    <t>รายละเอียดการเสีย Tax</t>
  </si>
  <si>
    <t>น้อยกว่า 100</t>
  </si>
  <si>
    <t>ตั้งแต่ 100</t>
  </si>
  <si>
    <t>ราคาที่ยอมรับได้</t>
  </si>
  <si>
    <t>จำนวนสินค้า</t>
  </si>
  <si>
    <t>ค่าเฉลี่ย tax</t>
  </si>
  <si>
    <t>ราคาต่ำสุด</t>
  </si>
  <si>
    <t>ราคาสูงสุด</t>
  </si>
  <si>
    <t>ผลรวมราคารวมภาษีของกลุ่มรับได้</t>
  </si>
  <si>
    <t>ภาษีรวมของกลุ่มที่รับได้</t>
  </si>
  <si>
    <t>Profit</t>
  </si>
  <si>
    <t>Order ID</t>
  </si>
  <si>
    <t>Customer Name</t>
  </si>
  <si>
    <t>Sales</t>
  </si>
  <si>
    <t>CA-2019-100867</t>
  </si>
  <si>
    <t>Eugene Hildebrand</t>
  </si>
  <si>
    <t>CA-2019-107153</t>
  </si>
  <si>
    <t>George Zrebassa</t>
  </si>
  <si>
    <t>CA-2019-115777</t>
  </si>
  <si>
    <t>CA-2019-115238</t>
  </si>
  <si>
    <t>Jane Waco</t>
  </si>
  <si>
    <t>CA-2019-126634</t>
  </si>
  <si>
    <t>Doug O'Connell</t>
  </si>
  <si>
    <t>CA-2019-152443</t>
  </si>
  <si>
    <t>CA-2019-117964</t>
  </si>
  <si>
    <t>Michael Knudson</t>
  </si>
  <si>
    <t>CA-2019-160325</t>
  </si>
  <si>
    <t>CA-2019-119508</t>
  </si>
  <si>
    <t>Tracy Zic</t>
  </si>
  <si>
    <t>CA-2020-145154</t>
  </si>
  <si>
    <t>CA-2019-123625</t>
  </si>
  <si>
    <t>Bruce Galang</t>
  </si>
  <si>
    <t>CA-2020-111111</t>
  </si>
  <si>
    <t>CA-2019-123664</t>
  </si>
  <si>
    <t>Neil Cohen</t>
  </si>
  <si>
    <t>CA-2020-152681</t>
  </si>
  <si>
    <t>CA-2019-125388</t>
  </si>
  <si>
    <t>Michael Paige</t>
  </si>
  <si>
    <t>CA-2019-129322</t>
  </si>
  <si>
    <t>CA-2019-126438</t>
  </si>
  <si>
    <t>Alex Russell</t>
  </si>
  <si>
    <t>CA-2019-131807</t>
  </si>
  <si>
    <t>Alan Barnes</t>
  </si>
  <si>
    <t>CA-2019-132339</t>
  </si>
  <si>
    <t>Denny Blanton</t>
  </si>
  <si>
    <t>Greg Guthrie</t>
  </si>
  <si>
    <t>Jennifer Braxton</t>
  </si>
  <si>
    <t>CA-2019-12362</t>
  </si>
  <si>
    <t>CA-2019-139675</t>
  </si>
  <si>
    <t>Nicole Fjeld</t>
  </si>
  <si>
    <t>CA-2019-12344</t>
  </si>
  <si>
    <t>CA-2019-141531</t>
  </si>
  <si>
    <t>CA-2019-143500</t>
  </si>
  <si>
    <t>Harry Olson</t>
  </si>
  <si>
    <t>CA-2019-146626</t>
  </si>
  <si>
    <t>James Peterman</t>
  </si>
  <si>
    <t>CA-2019-151799</t>
  </si>
  <si>
    <t>Ben Ferrer</t>
  </si>
  <si>
    <t>Frank Gastineau</t>
  </si>
  <si>
    <t>CA-2019-153623</t>
  </si>
  <si>
    <t>CA-2019-153738</t>
  </si>
  <si>
    <t>Alejandro Grove</t>
  </si>
  <si>
    <t>Bart Pistole</t>
  </si>
  <si>
    <t>CA-2019-166086</t>
  </si>
  <si>
    <t>Carol Triggs</t>
  </si>
  <si>
    <t>CA-2019-166695</t>
  </si>
  <si>
    <t>Chuck Clark</t>
  </si>
  <si>
    <t>CA-2019-184712</t>
  </si>
  <si>
    <t>CA-2020-112224</t>
  </si>
  <si>
    <t>CA-2020-115238</t>
  </si>
  <si>
    <t>CA-2020-119508</t>
  </si>
  <si>
    <t>CA-2020-129322</t>
  </si>
  <si>
    <t>CA-2020-132548</t>
  </si>
  <si>
    <t>CA-2020-139675</t>
  </si>
  <si>
    <t>CA-2020-150547</t>
  </si>
  <si>
    <t>Scott Cohen</t>
  </si>
  <si>
    <t>CA-2020-153071</t>
  </si>
  <si>
    <t>CA-2020-153738</t>
  </si>
  <si>
    <t>CA-2020-154124</t>
  </si>
  <si>
    <t>CA-2020-154231</t>
  </si>
  <si>
    <t>CA-2020-155586</t>
  </si>
  <si>
    <t>Xylona Preis</t>
  </si>
  <si>
    <t>CA-2020-158792</t>
  </si>
  <si>
    <t>Brian Dahlen</t>
  </si>
  <si>
    <t>CA-2021-108735</t>
  </si>
  <si>
    <t>Jessica Myrick</t>
  </si>
  <si>
    <t>CA-2021-111254</t>
  </si>
  <si>
    <t>CA-2021-112109</t>
  </si>
  <si>
    <t>Joe Elijah</t>
  </si>
  <si>
    <t>CA-2021-115238</t>
  </si>
  <si>
    <t>CA-2021-115483</t>
  </si>
  <si>
    <t>Jill Trafton</t>
  </si>
  <si>
    <t>CA-2021-119508</t>
  </si>
  <si>
    <t>CA-2021-121465</t>
  </si>
  <si>
    <t>CA-2021-124574</t>
  </si>
  <si>
    <t>CA-2021-124626</t>
  </si>
  <si>
    <t>CA-2021-125724</t>
  </si>
  <si>
    <t>Suzanne McNair</t>
  </si>
  <si>
    <t>CA-2021-126627</t>
  </si>
  <si>
    <t>William Brown</t>
  </si>
  <si>
    <t>CA-2021-129322</t>
  </si>
  <si>
    <t>CA-2021-133541</t>
  </si>
  <si>
    <t>CA-2021-135480</t>
  </si>
  <si>
    <t>CA-2021-136547</t>
  </si>
  <si>
    <t>CA-2021-139675</t>
  </si>
  <si>
    <t>CA-2021-141082</t>
  </si>
  <si>
    <t>Fred McMath</t>
  </si>
  <si>
    <t>CA-2021-153738</t>
  </si>
  <si>
    <t>CA-2021-155412</t>
  </si>
  <si>
    <t>CA-2021-155586</t>
  </si>
  <si>
    <t>CA-2021-158792</t>
  </si>
  <si>
    <t>CA-2021-169856</t>
  </si>
  <si>
    <t>CA-2021-174514</t>
  </si>
  <si>
    <t>CA-2021-187423</t>
  </si>
  <si>
    <t>CA-2021-192314</t>
  </si>
  <si>
    <t>Jennifer Sheldon</t>
  </si>
  <si>
    <t>CA-2022-105471</t>
  </si>
  <si>
    <t>CA-2022-106541</t>
  </si>
  <si>
    <t>CA-2022-107004</t>
  </si>
  <si>
    <t>CA-2022-108735</t>
  </si>
  <si>
    <t>CA-2022-112109</t>
  </si>
  <si>
    <t>CA-2022-115238</t>
  </si>
  <si>
    <t>CA-2022-115483</t>
  </si>
  <si>
    <t>CA-2022-115777</t>
  </si>
  <si>
    <t>CA-2022-119508</t>
  </si>
  <si>
    <t>CA-2022-121451</t>
  </si>
  <si>
    <t>CA-2022-124626</t>
  </si>
  <si>
    <t>CA-2022-125388</t>
  </si>
  <si>
    <t>CA-2022-125724</t>
  </si>
  <si>
    <t>CA-2022-126438</t>
  </si>
  <si>
    <t>CA-2022-126627</t>
  </si>
  <si>
    <t>CA-2022-126634</t>
  </si>
  <si>
    <t>CA-2022-129322</t>
  </si>
  <si>
    <t>CA-2022-130494</t>
  </si>
  <si>
    <t>CA-2022-131807</t>
  </si>
  <si>
    <t>CA-2022-132339</t>
  </si>
  <si>
    <t>CA-2022-135471</t>
  </si>
  <si>
    <t>CA-2022-135480</t>
  </si>
  <si>
    <t>CA-2022-139675</t>
  </si>
  <si>
    <t>CA-2022-141082</t>
  </si>
  <si>
    <t>CA-2022-141531</t>
  </si>
  <si>
    <t>CA-2022-143500</t>
  </si>
  <si>
    <t>CA-2022-145612</t>
  </si>
  <si>
    <t>CA-2022-146626</t>
  </si>
  <si>
    <t>CA-2022-151799</t>
  </si>
  <si>
    <t>CA-2022-153738</t>
  </si>
  <si>
    <t>CA-2022-154121</t>
  </si>
  <si>
    <t>CA-2022-158740</t>
  </si>
  <si>
    <t>CA-2022-160325</t>
  </si>
  <si>
    <t>CA-2022-166695</t>
  </si>
  <si>
    <t>CA-2022-184712</t>
  </si>
  <si>
    <t>CA-2022-192314</t>
  </si>
  <si>
    <t xml:space="preserve">Obito </t>
  </si>
  <si>
    <t>Rin</t>
  </si>
  <si>
    <r>
      <t xml:space="preserve">ใช้ </t>
    </r>
    <r>
      <rPr>
        <sz val="16"/>
        <color rgb="FFFF0000"/>
        <rFont val="Calibri"/>
        <family val="2"/>
      </rPr>
      <t>XLOOKUP</t>
    </r>
    <r>
      <rPr>
        <sz val="16"/>
        <color theme="1"/>
        <rFont val="Calibri"/>
        <family val="2"/>
      </rPr>
      <t xml:space="preserve"> ในการหาข้อมูล Customer Name, Profit และ Sales อ้างอิงด้วย Order ID</t>
    </r>
  </si>
  <si>
    <r>
      <t xml:space="preserve">ใช้ </t>
    </r>
    <r>
      <rPr>
        <sz val="16"/>
        <color rgb="FFFF0000"/>
        <rFont val="Calibri"/>
        <family val="2"/>
      </rPr>
      <t>VLOOKUP</t>
    </r>
    <r>
      <rPr>
        <sz val="16"/>
        <color theme="1"/>
        <rFont val="Calibri"/>
        <family val="2"/>
      </rPr>
      <t xml:space="preserve"> ในการหาข้อมูล Customer Name, Profit และ Sales อ้างอิงด้วย Order ID</t>
    </r>
  </si>
  <si>
    <t>Selling Price</t>
  </si>
  <si>
    <t>TAX Rate</t>
  </si>
  <si>
    <t>Lower End</t>
  </si>
  <si>
    <t>Higher End</t>
  </si>
  <si>
    <t>VAT</t>
  </si>
  <si>
    <t>above</t>
  </si>
  <si>
    <t>Assignments '!A1</t>
  </si>
  <si>
    <t>exercise 6 VLOOKUP and XLOOKUP'!A1</t>
  </si>
  <si>
    <t>exercise 7 VLOOKUP TRUE range'!A1</t>
  </si>
  <si>
    <t>exercise 8 Database Operation'!A1</t>
  </si>
  <si>
    <t>ฝึกใช้คำสั่ง D ของ excel</t>
  </si>
  <si>
    <t>ฝึกใช้ logical operation</t>
  </si>
  <si>
    <t>การบ้าน</t>
  </si>
  <si>
    <t>แลป</t>
  </si>
  <si>
    <t>ฝึกการทำ VLOOKUP</t>
  </si>
  <si>
    <t>Region</t>
  </si>
  <si>
    <t>Product</t>
  </si>
  <si>
    <t>Quantity</t>
  </si>
  <si>
    <t>Price per Unit</t>
  </si>
  <si>
    <t>Order Date</t>
  </si>
  <si>
    <t>ภาคตะวันออก</t>
  </si>
  <si>
    <t>สินค้า B</t>
  </si>
  <si>
    <t>2025-11-15</t>
  </si>
  <si>
    <t>ภาคตะวันตก</t>
  </si>
  <si>
    <t>2025-11-03</t>
  </si>
  <si>
    <t>2025-11-02</t>
  </si>
  <si>
    <t>ภาคใต้</t>
  </si>
  <si>
    <t>2025-11-21</t>
  </si>
  <si>
    <t>สินค้า C</t>
  </si>
  <si>
    <t>2025-11-06</t>
  </si>
  <si>
    <t>ภาคเหนือ</t>
  </si>
  <si>
    <t>สินค้า A</t>
  </si>
  <si>
    <t>2025-11-13</t>
  </si>
  <si>
    <t>ภาคกลาง</t>
  </si>
  <si>
    <t xml:space="preserve">    Bruce Galang  </t>
  </si>
  <si>
    <t xml:space="preserve"> Scott Cohen   </t>
  </si>
  <si>
    <t xml:space="preserve">
Brian Dahlen</t>
  </si>
  <si>
    <t xml:space="preserve">Fred    McMath  </t>
  </si>
  <si>
    <t>Raw Customer Name</t>
  </si>
  <si>
    <t>เนื่องจากข้อมูลในคอลัมน์ Raw Customer Name ยังไม่สะอาด มีการพิมพ์ spacebar โดยไม่ตั้งใจทั้งข้างหน้าและข้างหลัง จึงอยากให้เขียนสูตรในคอลัมน์ CustomerName เพื่อลบ spacebar ส่วนเกินออก</t>
  </si>
  <si>
    <t>CustomerName</t>
  </si>
  <si>
    <t>แยกชื่อและนามสกุลของลูกค้าให้อยู่ในคอลัมน์ใหม่ Name และ LastName</t>
  </si>
  <si>
    <t>LastName</t>
  </si>
  <si>
    <t>สร้างรหัสลูกค้า (Customer Code) จาก 2 ตัวแรกของชื่อและใช้พิมพ์ใหญ่และ 1 ตัวแรกของนามสกุลตัวพิมพ์ใหญ่ และตามด้วย Order ID เช่น 'NEC1002'</t>
  </si>
  <si>
    <t>ดึงเดือนจาก Order Date โดยแสดงเป็นข้อความ เช่น 'พฤศจิกายน'</t>
  </si>
  <si>
    <t>คำอธิบายรายการการซื้อ</t>
  </si>
  <si>
    <t>รวมข้อความจาก Product, Quantity และ Price per Unit ให้กลายเป็นคำอธิบายสินค้า เช่น 'สินค้า B จำนวน 15 ชิ้น ราคาชิ้นละ 200 บาท ราคารวม 3000 บาท'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</si>
</sst>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_-[$$-409]* #,##0_ ;_-[$$-409]* \-#,##0\ ;_-[$$-409]* &quot;-&quot;??_ ;_-@_ "/>
    <numFmt numFmtId="166" formatCode="&quot;₹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23130"/>
      <name val="Segoe UI"/>
      <family val="2"/>
    </font>
    <font>
      <sz val="11"/>
      <color rgb="FF323130"/>
      <name val="Segoe U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20"/>
      <color theme="1"/>
      <name val="Calibri"/>
      <family val="2"/>
    </font>
    <font>
      <b/>
      <sz val="16"/>
      <color theme="0"/>
      <name val="Calibri"/>
      <family val="2"/>
    </font>
    <font>
      <sz val="16"/>
      <color rgb="FFFF0000"/>
      <name val="Calibri"/>
      <family val="2"/>
    </font>
    <font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8C8C8"/>
        <bgColor rgb="FFC8C8C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ADB9CA"/>
        <bgColor rgb="FFADB9CA"/>
      </patternFill>
    </fill>
    <fill>
      <patternFill patternType="solid">
        <fgColor rgb="FFFFD965"/>
        <bgColor rgb="FFFFD965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8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7" borderId="1" xfId="0" applyFill="1" applyBorder="1"/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right"/>
    </xf>
    <xf numFmtId="0" fontId="0" fillId="9" borderId="3" xfId="0" applyFill="1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9" borderId="7" xfId="0" applyFill="1" applyBorder="1"/>
    <xf numFmtId="0" fontId="0" fillId="0" borderId="8" xfId="0" applyBorder="1"/>
    <xf numFmtId="0" fontId="0" fillId="0" borderId="9" xfId="0" applyBorder="1"/>
    <xf numFmtId="0" fontId="0" fillId="3" borderId="9" xfId="0" applyFill="1" applyBorder="1"/>
    <xf numFmtId="0" fontId="0" fillId="3" borderId="0" xfId="0" applyFill="1"/>
    <xf numFmtId="0" fontId="0" fillId="3" borderId="10" xfId="0" applyFill="1" applyBorder="1"/>
    <xf numFmtId="0" fontId="0" fillId="3" borderId="11" xfId="0" applyFill="1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0" xfId="0" applyAlignment="1">
      <alignment horizontal="right"/>
    </xf>
    <xf numFmtId="166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right" vertical="center"/>
    </xf>
    <xf numFmtId="0" fontId="8" fillId="0" borderId="0" xfId="4"/>
    <xf numFmtId="0" fontId="10" fillId="12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vertical="center" wrapText="1"/>
    </xf>
    <xf numFmtId="0" fontId="0" fillId="6" borderId="1" xfId="0" applyFill="1" applyBorder="1" applyAlignment="1">
      <alignment horizontal="right"/>
    </xf>
    <xf numFmtId="165" fontId="0" fillId="0" borderId="0" xfId="1" applyNumberFormat="1" applyFont="1"/>
    <xf numFmtId="165" fontId="0" fillId="0" borderId="0" xfId="0" applyNumberFormat="1"/>
    <xf numFmtId="165" fontId="0" fillId="0" borderId="1" xfId="0" applyNumberFormat="1" applyBorder="1"/>
    <xf numFmtId="0" fontId="0" fillId="13" borderId="1" xfId="0" applyFill="1" applyBorder="1"/>
    <xf numFmtId="1" fontId="0" fillId="0" borderId="0" xfId="0" applyNumberFormat="1"/>
    <xf numFmtId="1" fontId="2" fillId="0" borderId="1" xfId="0" applyNumberFormat="1" applyFont="1" applyBorder="1"/>
    <xf numFmtId="165" fontId="2" fillId="0" borderId="1" xfId="1" applyNumberFormat="1" applyFont="1" applyBorder="1"/>
    <xf numFmtId="165" fontId="1" fillId="11" borderId="1" xfId="3" applyNumberFormat="1" applyBorder="1" applyAlignment="1">
      <alignment horizontal="center"/>
    </xf>
    <xf numFmtId="165" fontId="0" fillId="11" borderId="1" xfId="3" applyNumberFormat="1" applyFont="1" applyBorder="1" applyAlignment="1">
      <alignment horizontal="center"/>
    </xf>
    <xf numFmtId="0" fontId="1" fillId="11" borderId="1" xfId="3" applyBorder="1" applyAlignment="1">
      <alignment horizontal="center"/>
    </xf>
    <xf numFmtId="1" fontId="0" fillId="13" borderId="14" xfId="0" applyNumberFormat="1" applyFill="1" applyBorder="1"/>
    <xf numFmtId="0" fontId="0" fillId="13" borderId="14" xfId="0" applyFill="1" applyBorder="1"/>
    <xf numFmtId="165" fontId="0" fillId="3" borderId="1" xfId="0" applyNumberFormat="1" applyFill="1" applyBorder="1"/>
    <xf numFmtId="0" fontId="11" fillId="0" borderId="0" xfId="0" applyFont="1"/>
    <xf numFmtId="0" fontId="14" fillId="16" borderId="0" xfId="0" applyFont="1" applyFill="1"/>
    <xf numFmtId="0" fontId="11" fillId="14" borderId="1" xfId="0" applyFont="1" applyFill="1" applyBorder="1" applyAlignment="1">
      <alignment horizontal="center"/>
    </xf>
    <xf numFmtId="0" fontId="11" fillId="0" borderId="15" xfId="0" applyFont="1" applyBorder="1"/>
    <xf numFmtId="0" fontId="11" fillId="17" borderId="1" xfId="0" applyFont="1" applyFill="1" applyBorder="1"/>
    <xf numFmtId="0" fontId="11" fillId="0" borderId="1" xfId="0" applyFont="1" applyBorder="1"/>
    <xf numFmtId="0" fontId="13" fillId="0" borderId="1" xfId="0" applyFont="1" applyBorder="1"/>
    <xf numFmtId="0" fontId="11" fillId="15" borderId="15" xfId="0" applyFont="1" applyFill="1" applyBorder="1"/>
    <xf numFmtId="3" fontId="11" fillId="15" borderId="15" xfId="0" applyNumberFormat="1" applyFont="1" applyFill="1" applyBorder="1"/>
    <xf numFmtId="0" fontId="12" fillId="0" borderId="0" xfId="0" applyFont="1"/>
    <xf numFmtId="3" fontId="11" fillId="0" borderId="15" xfId="0" applyNumberFormat="1" applyFont="1" applyBorder="1"/>
    <xf numFmtId="0" fontId="11" fillId="3" borderId="1" xfId="0" applyFont="1" applyFill="1" applyBorder="1"/>
    <xf numFmtId="0" fontId="11" fillId="18" borderId="1" xfId="0" applyFont="1" applyFill="1" applyBorder="1"/>
    <xf numFmtId="0" fontId="13" fillId="3" borderId="1" xfId="0" applyFont="1" applyFill="1" applyBorder="1"/>
    <xf numFmtId="0" fontId="13" fillId="19" borderId="19" xfId="0" applyFont="1" applyFill="1" applyBorder="1"/>
    <xf numFmtId="0" fontId="13" fillId="14" borderId="20" xfId="0" applyFont="1" applyFill="1" applyBorder="1"/>
    <xf numFmtId="0" fontId="13" fillId="14" borderId="0" xfId="0" applyFont="1" applyFill="1"/>
    <xf numFmtId="0" fontId="13" fillId="14" borderId="21" xfId="0" applyFont="1" applyFill="1" applyBorder="1"/>
    <xf numFmtId="0" fontId="13" fillId="0" borderId="20" xfId="0" applyFont="1" applyBorder="1"/>
    <xf numFmtId="0" fontId="13" fillId="0" borderId="0" xfId="0" applyFont="1"/>
    <xf numFmtId="9" fontId="13" fillId="0" borderId="21" xfId="0" applyNumberFormat="1" applyFont="1" applyBorder="1"/>
    <xf numFmtId="0" fontId="13" fillId="0" borderId="22" xfId="0" applyFont="1" applyBorder="1"/>
    <xf numFmtId="0" fontId="13" fillId="0" borderId="23" xfId="0" applyFont="1" applyBorder="1"/>
    <xf numFmtId="9" fontId="13" fillId="0" borderId="24" xfId="0" applyNumberFormat="1" applyFont="1" applyBorder="1"/>
    <xf numFmtId="0" fontId="13" fillId="20" borderId="1" xfId="0" applyFont="1" applyFill="1" applyBorder="1" applyAlignment="1">
      <alignment horizontal="center"/>
    </xf>
    <xf numFmtId="9" fontId="13" fillId="0" borderId="1" xfId="0" applyNumberFormat="1" applyFont="1" applyBorder="1"/>
    <xf numFmtId="9" fontId="13" fillId="0" borderId="1" xfId="2" applyFont="1" applyBorder="1"/>
    <xf numFmtId="0" fontId="8" fillId="0" borderId="0" xfId="4" quotePrefix="1"/>
    <xf numFmtId="0" fontId="0" fillId="2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1" borderId="1" xfId="0" applyFill="1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165" fontId="0" fillId="5" borderId="1" xfId="1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11" fillId="0" borderId="16" xfId="0" applyFont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6" fillId="0" borderId="18" xfId="0" applyFont="1" applyBorder="1"/>
  </cellXfs>
  <cellStyles count="5">
    <cellStyle name="40% - Accent4" xfId="3" builtinId="43"/>
    <cellStyle name="Currency 2" xfId="1" xr:uid="{90CCDED5-5FE2-4112-B633-8E756EBD23FD}"/>
    <cellStyle name="Hyperlink" xfId="4" builtinId="8"/>
    <cellStyle name="Normal" xfId="0" builtinId="0"/>
    <cellStyle name="Percent" xfId="2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0</xdr:rowOff>
    </xdr:from>
    <xdr:to>
      <xdr:col>17</xdr:col>
      <xdr:colOff>587308</xdr:colOff>
      <xdr:row>11</xdr:row>
      <xdr:rowOff>171660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AABCC-DD52-67F0-86F4-3E1DBD3A7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2462" y="1831731"/>
          <a:ext cx="3019846" cy="1505160"/>
        </a:xfrm>
        <a:prstGeom prst="rect">
          <a:avLst/>
        </a:prstGeom>
      </xdr:spPr>
    </xdr:pic>
    <xdr:clientData/>
  </xdr:twoCellAnchor>
  <xdr:oneCellAnchor>
    <xdr:from>
      <xdr:col>15</xdr:col>
      <xdr:colOff>204421</xdr:colOff>
      <xdr:row>0</xdr:row>
      <xdr:rowOff>981808</xdr:rowOff>
    </xdr:from>
    <xdr:ext cx="1324017" cy="27321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5E3E56-ECE8-6A19-727E-B852786C6ADA}"/>
            </a:ext>
          </a:extLst>
        </xdr:cNvPr>
        <xdr:cNvSpPr txBox="1"/>
      </xdr:nvSpPr>
      <xdr:spPr>
        <a:xfrm>
          <a:off x="12320221" y="981808"/>
          <a:ext cx="1324017" cy="2732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หน่วยกิตของวิชานั้น</a:t>
          </a:r>
          <a:endParaRPr lang="en-US" sz="1100"/>
        </a:p>
      </xdr:txBody>
    </xdr:sp>
    <xdr:clientData/>
  </xdr:oneCellAnchor>
  <xdr:twoCellAnchor>
    <xdr:from>
      <xdr:col>16</xdr:col>
      <xdr:colOff>256830</xdr:colOff>
      <xdr:row>0</xdr:row>
      <xdr:rowOff>1255024</xdr:rowOff>
    </xdr:from>
    <xdr:to>
      <xdr:col>16</xdr:col>
      <xdr:colOff>419100</xdr:colOff>
      <xdr:row>4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8A2306E-3120-17B0-741E-E1B98C1283D0}"/>
            </a:ext>
          </a:extLst>
        </xdr:cNvPr>
        <xdr:cNvCxnSpPr>
          <a:stCxn id="3" idx="2"/>
        </xdr:cNvCxnSpPr>
      </xdr:nvCxnSpPr>
      <xdr:spPr>
        <a:xfrm>
          <a:off x="12982230" y="1255024"/>
          <a:ext cx="162270" cy="6499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417634</xdr:colOff>
      <xdr:row>8</xdr:row>
      <xdr:rowOff>29308</xdr:rowOff>
    </xdr:from>
    <xdr:ext cx="722698" cy="27321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6C4A1B4-7EAB-ED01-483B-CFDDA81C0140}"/>
            </a:ext>
          </a:extLst>
        </xdr:cNvPr>
        <xdr:cNvSpPr txBox="1"/>
      </xdr:nvSpPr>
      <xdr:spPr>
        <a:xfrm>
          <a:off x="10103826" y="2623039"/>
          <a:ext cx="722698" cy="2732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เกรดที่ได้</a:t>
          </a:r>
          <a:endParaRPr lang="en-US" sz="1100"/>
        </a:p>
      </xdr:txBody>
    </xdr:sp>
    <xdr:clientData/>
  </xdr:oneCellAnchor>
  <xdr:twoCellAnchor>
    <xdr:from>
      <xdr:col>12</xdr:col>
      <xdr:colOff>532197</xdr:colOff>
      <xdr:row>8</xdr:row>
      <xdr:rowOff>139211</xdr:rowOff>
    </xdr:from>
    <xdr:to>
      <xdr:col>15</xdr:col>
      <xdr:colOff>43961</xdr:colOff>
      <xdr:row>8</xdr:row>
      <xdr:rowOff>165916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7470359-52AA-29D2-0CFF-3C6C6A4A54FB}"/>
            </a:ext>
          </a:extLst>
        </xdr:cNvPr>
        <xdr:cNvCxnSpPr>
          <a:stCxn id="6" idx="3"/>
        </xdr:cNvCxnSpPr>
      </xdr:nvCxnSpPr>
      <xdr:spPr>
        <a:xfrm flipV="1">
          <a:off x="10826524" y="2732942"/>
          <a:ext cx="1336168" cy="26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205154</xdr:colOff>
      <xdr:row>7</xdr:row>
      <xdr:rowOff>146539</xdr:rowOff>
    </xdr:from>
    <xdr:ext cx="296684" cy="35548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96CE24-7B21-9DAB-7FB0-9DA598649E14}"/>
            </a:ext>
          </a:extLst>
        </xdr:cNvPr>
        <xdr:cNvSpPr txBox="1"/>
      </xdr:nvSpPr>
      <xdr:spPr>
        <a:xfrm>
          <a:off x="12932019" y="2549770"/>
          <a:ext cx="296684" cy="3554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9</a:t>
          </a:r>
          <a:endParaRPr lang="en-US" sz="1600"/>
        </a:p>
      </xdr:txBody>
    </xdr:sp>
    <xdr:clientData/>
  </xdr:oneCellAnchor>
  <xdr:oneCellAnchor>
    <xdr:from>
      <xdr:col>16</xdr:col>
      <xdr:colOff>109903</xdr:colOff>
      <xdr:row>12</xdr:row>
      <xdr:rowOff>168520</xdr:rowOff>
    </xdr:from>
    <xdr:ext cx="1043619" cy="27321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4319662-8A6A-D904-90FC-82DB19417E3A}"/>
            </a:ext>
          </a:extLst>
        </xdr:cNvPr>
        <xdr:cNvSpPr txBox="1"/>
      </xdr:nvSpPr>
      <xdr:spPr>
        <a:xfrm>
          <a:off x="12836768" y="3524251"/>
          <a:ext cx="1043619" cy="2732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ผลคูณที่ควรได้</a:t>
          </a:r>
          <a:endParaRPr lang="en-US" sz="1100"/>
        </a:p>
      </xdr:txBody>
    </xdr:sp>
    <xdr:clientData/>
  </xdr:oneCellAnchor>
  <xdr:twoCellAnchor>
    <xdr:from>
      <xdr:col>16</xdr:col>
      <xdr:colOff>353496</xdr:colOff>
      <xdr:row>9</xdr:row>
      <xdr:rowOff>121021</xdr:rowOff>
    </xdr:from>
    <xdr:to>
      <xdr:col>17</xdr:col>
      <xdr:colOff>23578</xdr:colOff>
      <xdr:row>12</xdr:row>
      <xdr:rowOff>168520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74EEEF6-6464-A9E4-7D3F-604DF8A0C0E2}"/>
            </a:ext>
          </a:extLst>
        </xdr:cNvPr>
        <xdr:cNvCxnSpPr>
          <a:stCxn id="11" idx="0"/>
          <a:endCxn id="10" idx="2"/>
        </xdr:cNvCxnSpPr>
      </xdr:nvCxnSpPr>
      <xdr:spPr>
        <a:xfrm flipH="1" flipV="1">
          <a:off x="13080361" y="2905252"/>
          <a:ext cx="278217" cy="6189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504826</xdr:colOff>
      <xdr:row>2</xdr:row>
      <xdr:rowOff>104775</xdr:rowOff>
    </xdr:from>
    <xdr:to>
      <xdr:col>15</xdr:col>
      <xdr:colOff>485776</xdr:colOff>
      <xdr:row>6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F39867-6AD3-5207-DDBA-7EDBA3C7FF75}"/>
            </a:ext>
          </a:extLst>
        </xdr:cNvPr>
        <xdr:cNvSpPr txBox="1"/>
      </xdr:nvSpPr>
      <xdr:spPr>
        <a:xfrm>
          <a:off x="4295776" y="485775"/>
          <a:ext cx="5467350" cy="7810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บริษัทแห่งหนึ่ง</a:t>
          </a:r>
          <a:r>
            <a:rPr lang="th-TH" sz="1100" baseline="0"/>
            <a:t> มีการประเมินผลพนักงานแต่ละคนเพื่อที่จะให้โบนัส มีคะแนน </a:t>
          </a:r>
          <a:r>
            <a:rPr lang="en-US" sz="1100" baseline="0"/>
            <a:t>KPI =</a:t>
          </a:r>
          <a:r>
            <a:rPr lang="th-TH" sz="1100" baseline="0"/>
            <a:t> 1 - 5</a:t>
          </a:r>
        </a:p>
        <a:p>
          <a:r>
            <a:rPr lang="th-TH" sz="1100" baseline="0"/>
            <a:t>โดยตั้งเกณฑ์ว่าถ้าได้ 4 หรือ 5 จะได้โบนัส 5000 บาท นอกเหนือจากนั้นจะไม่ได้โบนัส</a:t>
          </a:r>
        </a:p>
        <a:p>
          <a:r>
            <a:rPr lang="th-TH" sz="1100" baseline="0"/>
            <a:t>จงเขียนสูตรหาโบนัสที่แต่ละคนได้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390526</xdr:colOff>
      <xdr:row>1</xdr:row>
      <xdr:rowOff>114300</xdr:rowOff>
    </xdr:from>
    <xdr:to>
      <xdr:col>14</xdr:col>
      <xdr:colOff>371476</xdr:colOff>
      <xdr:row>9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CE44B8-3883-4D48-8AB3-C0C3D1EDF5EC}"/>
            </a:ext>
          </a:extLst>
        </xdr:cNvPr>
        <xdr:cNvSpPr txBox="1"/>
      </xdr:nvSpPr>
      <xdr:spPr>
        <a:xfrm>
          <a:off x="3943351" y="304800"/>
          <a:ext cx="5467350" cy="15430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บริษัทแห่งหนึ่ง</a:t>
          </a:r>
          <a:r>
            <a:rPr lang="th-TH" sz="1100" baseline="0"/>
            <a:t> มีการประเมินผลพนักงานแต่ละคนเพื่อที่จะให้โบนัส มีคะแนน </a:t>
          </a:r>
          <a:r>
            <a:rPr lang="en-US" sz="1100" baseline="0"/>
            <a:t>KPI =</a:t>
          </a:r>
          <a:r>
            <a:rPr lang="th-TH" sz="1100" baseline="0"/>
            <a:t> 1 - 5</a:t>
          </a:r>
        </a:p>
        <a:p>
          <a:r>
            <a:rPr lang="th-TH" sz="1100" baseline="0"/>
            <a:t>โดยตั้งเกณฑ์ดังนี้</a:t>
          </a:r>
        </a:p>
        <a:p>
          <a:r>
            <a:rPr lang="th-TH" sz="1100" baseline="0"/>
            <a:t>ถ้าได้ 1 จะได้ 1000</a:t>
          </a:r>
        </a:p>
        <a:p>
          <a:r>
            <a:rPr lang="th-TH" sz="1100" baseline="0"/>
            <a:t>ถ้าได้ 2 จะได้ 1500</a:t>
          </a:r>
        </a:p>
        <a:p>
          <a:r>
            <a:rPr lang="th-TH" sz="1100" baseline="0"/>
            <a:t>ถ้าได้ 3 จะได้ 2500</a:t>
          </a:r>
        </a:p>
        <a:p>
          <a:r>
            <a:rPr lang="th-TH" sz="1100" baseline="0"/>
            <a:t>ถ้าได้ 4 จะได้ 4500</a:t>
          </a:r>
        </a:p>
        <a:p>
          <a:r>
            <a:rPr lang="th-TH" sz="1100" baseline="0"/>
            <a:t>และถ้าได้ 5 จะได้ 5000</a:t>
          </a:r>
        </a:p>
        <a:p>
          <a:r>
            <a:rPr lang="th-TH" sz="1100" baseline="0"/>
            <a:t>จงเขียนสูตรหาโบนัสที่แต่ละคนได้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533401</xdr:colOff>
      <xdr:row>1</xdr:row>
      <xdr:rowOff>142875</xdr:rowOff>
    </xdr:from>
    <xdr:to>
      <xdr:col>15</xdr:col>
      <xdr:colOff>38100</xdr:colOff>
      <xdr:row>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D9BC13-424A-447B-8E42-4AAD5E281929}"/>
            </a:ext>
          </a:extLst>
        </xdr:cNvPr>
        <xdr:cNvSpPr txBox="1"/>
      </xdr:nvSpPr>
      <xdr:spPr>
        <a:xfrm>
          <a:off x="4086226" y="333375"/>
          <a:ext cx="5705474" cy="10001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บริษัทแห่งหนึ่ง</a:t>
          </a:r>
          <a:r>
            <a:rPr lang="th-TH" sz="1100" baseline="0"/>
            <a:t> มีการประเมินผลพนักงานแต่ละคนเพื่อที่จะให้โบนัส มีคะแนน </a:t>
          </a:r>
          <a:r>
            <a:rPr lang="en-US" sz="1100" baseline="0"/>
            <a:t>KPI =</a:t>
          </a:r>
          <a:r>
            <a:rPr lang="th-TH" sz="1100" baseline="0"/>
            <a:t> 1 - 5</a:t>
          </a:r>
        </a:p>
        <a:p>
          <a:r>
            <a:rPr lang="th-TH" sz="1100" baseline="0"/>
            <a:t>โดยเกณฑ์ว่าจะได้เท่าไหร่บ้างนั้นต้องคุยกันในบอร์ดบริหารอีกที แต่มีคำสั่งมาว่าให้เขียนสูตรคร่าวๆ มาก่อน จึงได้ทำตารางสมมติโบนัสที่ได้ตามตารางด้านขวา</a:t>
          </a:r>
        </a:p>
        <a:p>
          <a:r>
            <a:rPr lang="th-TH" sz="1100" baseline="0"/>
            <a:t>จงเขียนสูตรด้วยคำสั่ง </a:t>
          </a:r>
          <a:r>
            <a:rPr lang="en-US" sz="1100" baseline="0"/>
            <a:t>IFS </a:t>
          </a:r>
          <a:r>
            <a:rPr lang="th-TH" sz="1100" baseline="0"/>
            <a:t>หาโบนัสที่แต่ละคนได้ตามตารางที่ให้มาโดยต้องอ้างอิงจากค่าในตาราง</a:t>
          </a:r>
        </a:p>
        <a:p>
          <a:r>
            <a:rPr lang="th-TH" sz="1100" baseline="0"/>
            <a:t>กล่าวคือต้องรองรับการคิดให้อัตโนมัติถ้ามีการเปลี่ยนเลขโบนัสที่ได้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546652</xdr:colOff>
      <xdr:row>6</xdr:row>
      <xdr:rowOff>91110</xdr:rowOff>
    </xdr:from>
    <xdr:to>
      <xdr:col>17</xdr:col>
      <xdr:colOff>596348</xdr:colOff>
      <xdr:row>10</xdr:row>
      <xdr:rowOff>182218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25299D-6FC3-F859-4E99-4F7381BC50EE}"/>
            </a:ext>
          </a:extLst>
        </xdr:cNvPr>
        <xdr:cNvSpPr txBox="1"/>
      </xdr:nvSpPr>
      <xdr:spPr>
        <a:xfrm>
          <a:off x="8522804" y="1234110"/>
          <a:ext cx="6568109" cy="85310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&gt;</a:t>
          </a:r>
          <a:r>
            <a:rPr lang="en-US" sz="1100" baseline="0"/>
            <a:t> </a:t>
          </a:r>
          <a:r>
            <a:rPr lang="en-US" sz="1100"/>
            <a:t>Tax =</a:t>
          </a:r>
          <a:r>
            <a:rPr lang="en-US" sz="1100" baseline="0"/>
            <a:t> </a:t>
          </a:r>
          <a:r>
            <a:rPr lang="th-TH" sz="1100" baseline="0"/>
            <a:t>ค่าภาษีคิดตาม </a:t>
          </a:r>
          <a:r>
            <a:rPr lang="en-US" sz="1100" baseline="0"/>
            <a:t>Item Price </a:t>
          </a:r>
          <a:r>
            <a:rPr lang="th-TH" sz="1100" baseline="0"/>
            <a:t>ตามตารางที่กำหนดให้</a:t>
          </a:r>
          <a:endParaRPr lang="en-US" sz="1100" baseline="0"/>
        </a:p>
        <a:p>
          <a:r>
            <a:rPr lang="en-US" sz="1100"/>
            <a:t>&gt; Total Price Before Tax </a:t>
          </a:r>
          <a:r>
            <a:rPr lang="th-TH" sz="1100"/>
            <a:t>คิดจากจำนวนชิ้นที่ซื้อและราคาต่อชิ้นคิด</a:t>
          </a:r>
        </a:p>
        <a:p>
          <a:r>
            <a:rPr lang="en-US" sz="1100"/>
            <a:t>&gt;</a:t>
          </a:r>
          <a:r>
            <a:rPr lang="en-US" sz="1100" baseline="0"/>
            <a:t> Total Price After Tax </a:t>
          </a:r>
          <a:r>
            <a:rPr lang="th-TH" sz="1100" baseline="0"/>
            <a:t>ราคารวม </a:t>
          </a:r>
          <a:r>
            <a:rPr lang="en-US" sz="1100" baseline="0"/>
            <a:t>Tax</a:t>
          </a:r>
          <a:endParaRPr lang="th-TH" sz="1100" baseline="0"/>
        </a:p>
        <a:p>
          <a:r>
            <a:rPr lang="en-US" sz="1100" baseline="0"/>
            <a:t>&gt; Rate </a:t>
          </a:r>
          <a:r>
            <a:rPr lang="th-TH" sz="1100" baseline="0"/>
            <a:t>ตัดสินจากข้อมูล "ราคาที่ยอมรับได้" ถ้าเกินราคาที่ตั้งไว้ให้ขึ้นว่า "แพง" แต่ถ้าอย่างอื่นให้ขึ้นว่า </a:t>
          </a:r>
          <a:r>
            <a:rPr lang="en-US" sz="1100" baseline="0"/>
            <a:t>"</a:t>
          </a:r>
          <a:r>
            <a:rPr lang="th-TH" sz="1100" baseline="0"/>
            <a:t>รับได้"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542925</xdr:colOff>
      <xdr:row>8</xdr:row>
      <xdr:rowOff>19050</xdr:rowOff>
    </xdr:from>
    <xdr:ext cx="3018262" cy="2732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BAAE67-3502-81E1-065E-3AF8E2526169}"/>
            </a:ext>
          </a:extLst>
        </xdr:cNvPr>
        <xdr:cNvSpPr txBox="1"/>
      </xdr:nvSpPr>
      <xdr:spPr>
        <a:xfrm>
          <a:off x="1895475" y="2705100"/>
          <a:ext cx="3018262" cy="27321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หา</a:t>
          </a:r>
          <a:r>
            <a:rPr lang="th-TH" sz="1100" baseline="0"/>
            <a:t> </a:t>
          </a:r>
          <a:r>
            <a:rPr lang="en-US" sz="1100" baseline="0"/>
            <a:t>Tax </a:t>
          </a:r>
          <a:r>
            <a:rPr lang="th-TH" sz="1100" baseline="0"/>
            <a:t>ของ </a:t>
          </a:r>
          <a:r>
            <a:rPr lang="en-US" sz="1100" baseline="0"/>
            <a:t>Selling Price </a:t>
          </a:r>
          <a:r>
            <a:rPr lang="th-TH" sz="1100" baseline="0"/>
            <a:t>ตามตาราง </a:t>
          </a:r>
          <a:r>
            <a:rPr lang="en-US" sz="1100" baseline="0"/>
            <a:t>TAX Rate </a:t>
          </a:r>
          <a:r>
            <a:rPr lang="th-TH" sz="1100" baseline="0"/>
            <a:t>ที่ให้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bito Uchiha" id="{F04C97C2-CF1B-410B-B222-AAACDC1D9A5E}" userId="053598e7d676b2f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28A5DE-3367-484D-82CA-C1DD526F6820}" name="data" displayName="data" ref="A1:D105" totalsRowShown="0" headerRowDxfId="5" tableBorderDxfId="4">
  <autoFilter ref="A1:D105" xr:uid="{6028A5DE-3367-484D-82CA-C1DD526F6820}"/>
  <tableColumns count="4">
    <tableColumn id="1" xr3:uid="{0463104D-E1D5-42AD-B851-3CB8EE5B82AB}" name="Order ID"/>
    <tableColumn id="2" xr3:uid="{F413B35B-8ECA-4080-86E6-728240B829EB}" name="Customer Name"/>
    <tableColumn id="3" xr3:uid="{499E3B3E-FE83-4726-B5C9-9147D771BE48}" name="Profit" dataDxfId="3"/>
    <tableColumn id="4" xr3:uid="{3C3F3D9A-0CF1-4CAA-A7F2-8D1D048DE04E}" name="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4-05-30T15:23:43.53" personId="{F04C97C2-CF1B-410B-B222-AAACDC1D9A5E}" id="{47FF4251-927B-4112-A6E5-DFDB5B2F7D0D}">
    <text>Not operator it always opposite if true then it return false 
if false then return true</text>
  </threadedComment>
  <threadedComment ref="D10" dT="2024-05-30T14:31:32.15" personId="{F04C97C2-CF1B-410B-B222-AAACDC1D9A5E}" id="{04870B3B-C403-4285-A633-FE4E38D6BA66}">
    <text>If any one conditions are true then returns true and if both conditions are False
Then false
=IF(AND(B12 &gt;= $B$3,C12 &gt;=$B$4), B12 *$B$5, " Not Complited Goal")</text>
  </threadedComment>
  <threadedComment ref="E10" dT="2024-05-30T14:30:40.93" personId="{F04C97C2-CF1B-410B-B222-AAACDC1D9A5E}" id="{5B60D31F-8659-4966-A7A2-2039501CC110}">
    <text>If both conditions are true then only returns true otherwise False
=IF(AND(B12 &gt;= $B$3,C12 &gt;=$B$4), B12 *$B$5, " Not Complited Goal")</text>
  </threadedComment>
  <threadedComment ref="E10" dT="2024-05-30T15:11:30.47" personId="{F04C97C2-CF1B-410B-B222-AAACDC1D9A5E}" id="{BA385546-80A7-49AB-8BF0-5AB0E3CF32EC}" parentId="{5B60D31F-8659-4966-A7A2-2039501CC110}">
    <text>=IF(AND(B12 &gt;= $B$3, C12 &gt;=$B$4), $B$6, "Not Completed Goal")</text>
  </threadedComment>
  <threadedComment ref="E11" dT="2024-05-30T15:11:20.74" personId="{F04C97C2-CF1B-410B-B222-AAACDC1D9A5E}" id="{45F4713A-3939-4A47-990A-C25D20CD8211}">
    <text xml:space="preserve">=IF(AND(B12 &gt;= $B$3, C12 &gt;=$B$4), $B$6, "Not Completed Goal")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" dT="2024-06-17T06:48:25.21" personId="{F04C97C2-CF1B-410B-B222-AAACDC1D9A5E}" id="{BFCEF004-DD15-413B-AFB3-E2EF99AAF3AB}">
    <text>=IFNA(VLOOKUP(C13,C2:E7,3),0)</text>
  </threadedComment>
  <threadedComment ref="B12" dT="2024-06-17T06:48:55.95" personId="{F04C97C2-CF1B-410B-B222-AAACDC1D9A5E}" id="{6A6137AF-1613-4261-BF84-F5DB0E96D1B2}" parentId="{BFCEF004-DD15-413B-AFB3-E2EF99AAF3AB}">
    <text>=IFNA(VLOOKUP(C13,C2:E7,3,TRUE),0)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7163-14F7-4C44-81BF-B7CAECAF35DF}">
  <dimension ref="A1:F24"/>
  <sheetViews>
    <sheetView workbookViewId="0">
      <selection activeCell="B13" sqref="B13"/>
    </sheetView>
  </sheetViews>
  <sheetFormatPr defaultRowHeight="15" x14ac:dyDescent="0.25"/>
  <cols>
    <col min="1" max="1" width="39" customWidth="1"/>
    <col min="2" max="2" width="54.140625" bestFit="1" customWidth="1"/>
    <col min="4" max="5" width="8.85546875" bestFit="1" customWidth="1"/>
  </cols>
  <sheetData>
    <row r="1" spans="1:6" x14ac:dyDescent="0.25">
      <c r="A1" t="s">
        <v>136</v>
      </c>
      <c r="B1" t="s">
        <v>137</v>
      </c>
    </row>
    <row r="2" spans="1:6" x14ac:dyDescent="0.25">
      <c r="A2" s="41" t="s">
        <v>138</v>
      </c>
      <c r="B2" t="s">
        <v>146</v>
      </c>
    </row>
    <row r="3" spans="1:6" x14ac:dyDescent="0.25">
      <c r="A3" s="41" t="s">
        <v>139</v>
      </c>
      <c r="B3" t="s">
        <v>147</v>
      </c>
    </row>
    <row r="4" spans="1:6" x14ac:dyDescent="0.25">
      <c r="A4" s="41" t="s">
        <v>140</v>
      </c>
      <c r="B4" t="s">
        <v>330</v>
      </c>
    </row>
    <row r="5" spans="1:6" x14ac:dyDescent="0.25">
      <c r="A5" s="41" t="s">
        <v>141</v>
      </c>
      <c r="B5" t="s">
        <v>148</v>
      </c>
    </row>
    <row r="6" spans="1:6" x14ac:dyDescent="0.25">
      <c r="A6" s="41" t="s">
        <v>142</v>
      </c>
      <c r="B6" t="s">
        <v>149</v>
      </c>
    </row>
    <row r="7" spans="1:6" x14ac:dyDescent="0.25">
      <c r="A7" s="41" t="s">
        <v>143</v>
      </c>
      <c r="B7" t="s">
        <v>150</v>
      </c>
    </row>
    <row r="8" spans="1:6" x14ac:dyDescent="0.25">
      <c r="A8" s="41" t="s">
        <v>144</v>
      </c>
      <c r="B8" t="s">
        <v>151</v>
      </c>
    </row>
    <row r="9" spans="1:6" x14ac:dyDescent="0.25">
      <c r="A9" s="41" t="s">
        <v>145</v>
      </c>
      <c r="B9" t="s">
        <v>328</v>
      </c>
    </row>
    <row r="10" spans="1:6" x14ac:dyDescent="0.25">
      <c r="A10" s="85" t="s">
        <v>323</v>
      </c>
      <c r="B10" t="s">
        <v>329</v>
      </c>
    </row>
    <row r="11" spans="1:6" x14ac:dyDescent="0.25">
      <c r="A11" s="85" t="s">
        <v>324</v>
      </c>
      <c r="B11" t="s">
        <v>331</v>
      </c>
    </row>
    <row r="12" spans="1:6" x14ac:dyDescent="0.25">
      <c r="A12" s="85" t="s">
        <v>325</v>
      </c>
      <c r="B12" t="s">
        <v>331</v>
      </c>
    </row>
    <row r="13" spans="1:6" x14ac:dyDescent="0.25">
      <c r="A13" s="85" t="s">
        <v>326</v>
      </c>
      <c r="B13" t="s">
        <v>327</v>
      </c>
    </row>
    <row r="16" spans="1:6" ht="16.5" x14ac:dyDescent="0.25">
      <c r="D16" s="42"/>
      <c r="E16" s="42"/>
      <c r="F16" s="42"/>
    </row>
    <row r="17" spans="4:6" ht="16.5" x14ac:dyDescent="0.25">
      <c r="D17" s="43"/>
      <c r="E17" s="43"/>
      <c r="F17" s="43"/>
    </row>
    <row r="18" spans="4:6" ht="16.5" x14ac:dyDescent="0.25">
      <c r="D18" s="43"/>
      <c r="E18" s="43"/>
      <c r="F18" s="43"/>
    </row>
    <row r="19" spans="4:6" ht="16.5" x14ac:dyDescent="0.25">
      <c r="D19" s="43"/>
      <c r="E19" s="43"/>
      <c r="F19" s="43"/>
    </row>
    <row r="20" spans="4:6" ht="16.5" x14ac:dyDescent="0.25">
      <c r="D20" s="43"/>
      <c r="E20" s="43"/>
      <c r="F20" s="43"/>
    </row>
    <row r="21" spans="4:6" ht="16.5" x14ac:dyDescent="0.25">
      <c r="D21" s="43"/>
      <c r="E21" s="43"/>
      <c r="F21" s="43"/>
    </row>
    <row r="22" spans="4:6" ht="16.5" x14ac:dyDescent="0.25">
      <c r="D22" s="43"/>
      <c r="E22" s="43"/>
      <c r="F22" s="43"/>
    </row>
    <row r="23" spans="4:6" ht="16.5" x14ac:dyDescent="0.25">
      <c r="D23" s="43"/>
      <c r="E23" s="43"/>
      <c r="F23" s="43"/>
    </row>
    <row r="24" spans="4:6" ht="16.5" x14ac:dyDescent="0.25">
      <c r="D24" s="43"/>
      <c r="E24" s="43"/>
      <c r="F24" s="43"/>
    </row>
  </sheetData>
  <hyperlinks>
    <hyperlink ref="A2" location="'exercise 1'!A1" display="exercise 1" xr:uid="{57DE7907-2A14-4FC1-80A2-00870348E37F}"/>
    <hyperlink ref="A3" location="'exercise 2'!A1" display="exercise 2" xr:uid="{BCCE3661-ACFA-4897-8D52-4C5DB172B368}"/>
    <hyperlink ref="A4" location="'Challenge คิดเกรดเฉลี่ย'!A1" display="Challenge คิดเกรดเฉลี่ย" xr:uid="{91FF8461-1E9B-4BBD-9C34-D6BBDAAA0FE0}"/>
    <hyperlink ref="A5" location="'exercise 3 IF'!A1" display="exercise 3 IF" xr:uid="{0C101478-B063-4E0B-9FF0-1421DD3C377E}"/>
    <hyperlink ref="A6" location="'exercise 3 IF (2)'!A1" display="exercise 3 IF (2)" xr:uid="{968937AF-4D61-4C54-A101-DD68AD527707}"/>
    <hyperlink ref="A7" location="'exercise 3 IF (3)'!A1" display="exercise 3 IF (3)" xr:uid="{69DDA1A4-C959-483A-B39C-37CAE4E3F587}"/>
    <hyperlink ref="A8" location="'exercise 4 function with IF'!A1" display="exercise 4 function with IF" xr:uid="{4C07DAEA-C039-4E5C-BFC6-2CAB5D61F064}"/>
    <hyperlink ref="A9" location="'exercise 5 logical operation'!A1" display="exercise 5 logical operation" xr:uid="{8256DF28-190D-4008-ADB0-000009135DF3}"/>
    <hyperlink ref="A10" location="'Assignments '!A1" display="'Assignments '!A1" xr:uid="{719B5683-6EB7-45FC-BECA-38C8D753FA4F}"/>
    <hyperlink ref="A11" location="'exercise 6 VLOOKUP and XLOOKUP'!A1" display="'exercise 6 VLOOKUP and XLOOKUP'!A1" xr:uid="{062DB569-1778-417F-A0B1-78A039009812}"/>
    <hyperlink ref="A12" location="'exercise 7 VLOOKUP TRUE range'!A1" display="'exercise 7 VLOOKUP TRUE range'!A1" xr:uid="{E3603A34-3C9C-417A-A1D8-0B5B06547449}"/>
    <hyperlink ref="A13" location="'exercise 8 Database Operation'!A1" display="'exercise 8 Database Operation'!A1" xr:uid="{7876166F-F627-4027-B45D-8401CC1A0E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DCC5-629F-4297-BA96-F0210344C07F}">
  <dimension ref="A1:F15"/>
  <sheetViews>
    <sheetView zoomScaleNormal="100" workbookViewId="0">
      <selection sqref="A1:F1"/>
    </sheetView>
  </sheetViews>
  <sheetFormatPr defaultRowHeight="15" x14ac:dyDescent="0.25"/>
  <sheetData>
    <row r="1" spans="1:6" ht="55.5" customHeight="1" x14ac:dyDescent="0.25">
      <c r="A1" s="92" t="s">
        <v>6</v>
      </c>
      <c r="B1" s="93"/>
      <c r="C1" s="93"/>
      <c r="D1" s="93"/>
      <c r="E1" s="93"/>
      <c r="F1" s="93"/>
    </row>
    <row r="2" spans="1:6" x14ac:dyDescent="0.25">
      <c r="A2" s="1" t="s">
        <v>0</v>
      </c>
      <c r="B2" s="1" t="s">
        <v>1</v>
      </c>
      <c r="C2" s="9" t="s">
        <v>2</v>
      </c>
      <c r="D2" s="10" t="s">
        <v>3</v>
      </c>
      <c r="E2" s="11" t="s">
        <v>4</v>
      </c>
      <c r="F2" s="13" t="s">
        <v>5</v>
      </c>
    </row>
    <row r="3" spans="1:6" x14ac:dyDescent="0.25">
      <c r="A3" s="2">
        <v>25</v>
      </c>
      <c r="B3" s="2">
        <v>50</v>
      </c>
      <c r="C3" s="8"/>
      <c r="D3" s="6"/>
      <c r="E3" s="12"/>
      <c r="F3" s="7"/>
    </row>
    <row r="4" spans="1:6" x14ac:dyDescent="0.25">
      <c r="A4" s="2">
        <v>30</v>
      </c>
      <c r="B4" s="2">
        <v>20</v>
      </c>
      <c r="C4" s="8"/>
      <c r="D4" s="6"/>
      <c r="E4" s="12"/>
      <c r="F4" s="7"/>
    </row>
    <row r="5" spans="1:6" x14ac:dyDescent="0.25">
      <c r="A5" s="2">
        <v>35</v>
      </c>
      <c r="B5" s="2">
        <v>30</v>
      </c>
      <c r="C5" s="8"/>
      <c r="D5" s="6"/>
      <c r="E5" s="12"/>
      <c r="F5" s="7"/>
    </row>
    <row r="6" spans="1:6" x14ac:dyDescent="0.25">
      <c r="A6" s="2">
        <v>40</v>
      </c>
      <c r="B6" s="2">
        <v>1</v>
      </c>
      <c r="C6" s="8"/>
      <c r="D6" s="6"/>
      <c r="E6" s="12"/>
      <c r="F6" s="7"/>
    </row>
    <row r="7" spans="1:6" x14ac:dyDescent="0.25">
      <c r="A7" s="2">
        <v>45</v>
      </c>
      <c r="B7" s="2">
        <v>50</v>
      </c>
      <c r="C7" s="8"/>
      <c r="D7" s="6"/>
      <c r="E7" s="12"/>
      <c r="F7" s="7"/>
    </row>
    <row r="8" spans="1:6" x14ac:dyDescent="0.25">
      <c r="A8" s="2">
        <v>50</v>
      </c>
      <c r="B8" s="2">
        <v>4</v>
      </c>
      <c r="C8" s="8"/>
      <c r="D8" s="6"/>
      <c r="E8" s="12"/>
      <c r="F8" s="7"/>
    </row>
    <row r="9" spans="1:6" x14ac:dyDescent="0.25">
      <c r="A9" s="2">
        <v>55</v>
      </c>
      <c r="B9" s="2">
        <v>60</v>
      </c>
      <c r="C9" s="8"/>
      <c r="D9" s="6"/>
      <c r="E9" s="12"/>
      <c r="F9" s="7"/>
    </row>
    <row r="10" spans="1:6" x14ac:dyDescent="0.25">
      <c r="A10" s="2">
        <v>6</v>
      </c>
      <c r="B10" s="2">
        <v>50</v>
      </c>
      <c r="C10" s="8"/>
      <c r="D10" s="6"/>
      <c r="E10" s="12"/>
      <c r="F10" s="7"/>
    </row>
    <row r="11" spans="1:6" x14ac:dyDescent="0.25">
      <c r="A11" s="2">
        <v>50</v>
      </c>
      <c r="B11" s="2">
        <v>20</v>
      </c>
      <c r="C11" s="8"/>
      <c r="D11" s="6"/>
      <c r="E11" s="12"/>
      <c r="F11" s="7"/>
    </row>
    <row r="12" spans="1:6" x14ac:dyDescent="0.25">
      <c r="A12" s="2">
        <v>50</v>
      </c>
      <c r="B12" s="2">
        <v>20</v>
      </c>
      <c r="C12" s="8"/>
      <c r="D12" s="6"/>
      <c r="E12" s="12"/>
      <c r="F12" s="7"/>
    </row>
    <row r="13" spans="1:6" x14ac:dyDescent="0.25">
      <c r="A13" s="2">
        <v>10</v>
      </c>
      <c r="B13" s="2">
        <v>5</v>
      </c>
      <c r="C13" s="8"/>
      <c r="D13" s="6"/>
      <c r="E13" s="12"/>
      <c r="F13" s="7"/>
    </row>
    <row r="14" spans="1:6" x14ac:dyDescent="0.25">
      <c r="A14" s="2">
        <v>20</v>
      </c>
      <c r="B14" s="2">
        <v>6</v>
      </c>
      <c r="C14" s="8"/>
      <c r="D14" s="6"/>
      <c r="E14" s="12"/>
      <c r="F14" s="7"/>
    </row>
    <row r="15" spans="1:6" x14ac:dyDescent="0.25">
      <c r="A15" s="2">
        <v>50</v>
      </c>
      <c r="B15" s="2">
        <v>70</v>
      </c>
      <c r="C15" s="8"/>
      <c r="D15" s="6"/>
      <c r="E15" s="12"/>
      <c r="F15" s="7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2878-8EB9-4DE7-92F4-837B3DD906D4}">
  <dimension ref="A1:G53"/>
  <sheetViews>
    <sheetView topLeftCell="G1" workbookViewId="0">
      <selection activeCell="D53" sqref="D3:D53"/>
    </sheetView>
  </sheetViews>
  <sheetFormatPr defaultRowHeight="15" x14ac:dyDescent="0.25"/>
  <sheetData>
    <row r="1" spans="1:7" ht="41.25" customHeight="1" x14ac:dyDescent="0.25">
      <c r="A1" s="93" t="s">
        <v>9</v>
      </c>
      <c r="B1" s="95"/>
      <c r="C1" s="95"/>
      <c r="D1" s="95"/>
      <c r="E1" s="95"/>
      <c r="F1" s="95"/>
      <c r="G1" s="95"/>
    </row>
    <row r="2" spans="1:7" x14ac:dyDescent="0.25">
      <c r="B2" s="94" t="s">
        <v>8</v>
      </c>
      <c r="C2" s="94"/>
      <c r="D2" s="94"/>
    </row>
    <row r="3" spans="1:7" x14ac:dyDescent="0.25">
      <c r="A3" s="3" t="s">
        <v>7</v>
      </c>
      <c r="B3" s="5">
        <v>7</v>
      </c>
      <c r="C3" s="7">
        <v>0.5</v>
      </c>
      <c r="D3" s="6">
        <v>-5</v>
      </c>
    </row>
    <row r="4" spans="1:7" x14ac:dyDescent="0.25">
      <c r="A4" s="2">
        <v>39</v>
      </c>
      <c r="B4" s="5"/>
      <c r="C4" s="7"/>
      <c r="D4" s="6"/>
    </row>
    <row r="5" spans="1:7" x14ac:dyDescent="0.25">
      <c r="A5" s="2">
        <v>53</v>
      </c>
      <c r="B5" s="5"/>
      <c r="C5" s="7"/>
      <c r="D5" s="6"/>
    </row>
    <row r="6" spans="1:7" x14ac:dyDescent="0.25">
      <c r="A6" s="2">
        <v>8</v>
      </c>
      <c r="B6" s="5"/>
      <c r="C6" s="7"/>
      <c r="D6" s="6"/>
    </row>
    <row r="7" spans="1:7" x14ac:dyDescent="0.25">
      <c r="A7" s="2">
        <v>55</v>
      </c>
      <c r="B7" s="5"/>
      <c r="C7" s="7"/>
      <c r="D7" s="6"/>
    </row>
    <row r="8" spans="1:7" x14ac:dyDescent="0.25">
      <c r="A8" s="2">
        <v>85</v>
      </c>
      <c r="B8" s="5"/>
      <c r="C8" s="7"/>
      <c r="D8" s="6"/>
    </row>
    <row r="9" spans="1:7" x14ac:dyDescent="0.25">
      <c r="A9" s="2">
        <v>1</v>
      </c>
      <c r="B9" s="5"/>
      <c r="C9" s="7"/>
      <c r="D9" s="6"/>
    </row>
    <row r="10" spans="1:7" x14ac:dyDescent="0.25">
      <c r="A10" s="2">
        <v>13</v>
      </c>
      <c r="B10" s="5"/>
      <c r="C10" s="7"/>
      <c r="D10" s="6"/>
    </row>
    <row r="11" spans="1:7" x14ac:dyDescent="0.25">
      <c r="A11" s="2">
        <v>81</v>
      </c>
      <c r="B11" s="5"/>
      <c r="C11" s="7"/>
      <c r="D11" s="6"/>
    </row>
    <row r="12" spans="1:7" x14ac:dyDescent="0.25">
      <c r="A12" s="2">
        <v>86</v>
      </c>
      <c r="B12" s="5"/>
      <c r="C12" s="7"/>
      <c r="D12" s="6"/>
    </row>
    <row r="13" spans="1:7" x14ac:dyDescent="0.25">
      <c r="A13" s="2">
        <v>58</v>
      </c>
      <c r="B13" s="5"/>
      <c r="C13" s="7"/>
      <c r="D13" s="6"/>
    </row>
    <row r="14" spans="1:7" x14ac:dyDescent="0.25">
      <c r="A14" s="2">
        <v>34</v>
      </c>
      <c r="B14" s="5"/>
      <c r="C14" s="7"/>
      <c r="D14" s="6"/>
    </row>
    <row r="15" spans="1:7" x14ac:dyDescent="0.25">
      <c r="A15" s="2">
        <v>84</v>
      </c>
      <c r="B15" s="5"/>
      <c r="C15" s="7"/>
      <c r="D15" s="6"/>
    </row>
    <row r="16" spans="1:7" x14ac:dyDescent="0.25">
      <c r="A16" s="2">
        <v>15</v>
      </c>
      <c r="B16" s="5"/>
      <c r="C16" s="7"/>
      <c r="D16" s="6"/>
    </row>
    <row r="17" spans="1:4" x14ac:dyDescent="0.25">
      <c r="A17" s="2">
        <v>39</v>
      </c>
      <c r="B17" s="5"/>
      <c r="C17" s="7"/>
      <c r="D17" s="6"/>
    </row>
    <row r="18" spans="1:4" x14ac:dyDescent="0.25">
      <c r="A18" s="2">
        <v>38</v>
      </c>
      <c r="B18" s="5"/>
      <c r="C18" s="7"/>
      <c r="D18" s="6"/>
    </row>
    <row r="19" spans="1:4" x14ac:dyDescent="0.25">
      <c r="A19" s="2">
        <v>69</v>
      </c>
      <c r="B19" s="5"/>
      <c r="C19" s="7"/>
      <c r="D19" s="6"/>
    </row>
    <row r="20" spans="1:4" x14ac:dyDescent="0.25">
      <c r="A20" s="2">
        <v>70</v>
      </c>
      <c r="B20" s="5"/>
      <c r="C20" s="7"/>
      <c r="D20" s="6"/>
    </row>
    <row r="21" spans="1:4" x14ac:dyDescent="0.25">
      <c r="A21" s="2">
        <v>2</v>
      </c>
      <c r="B21" s="5"/>
      <c r="C21" s="7"/>
      <c r="D21" s="6"/>
    </row>
    <row r="22" spans="1:4" x14ac:dyDescent="0.25">
      <c r="A22" s="2">
        <v>70</v>
      </c>
      <c r="B22" s="5"/>
      <c r="C22" s="7"/>
      <c r="D22" s="6"/>
    </row>
    <row r="23" spans="1:4" x14ac:dyDescent="0.25">
      <c r="A23" s="2">
        <v>80</v>
      </c>
      <c r="B23" s="5"/>
      <c r="C23" s="7"/>
      <c r="D23" s="6"/>
    </row>
    <row r="24" spans="1:4" x14ac:dyDescent="0.25">
      <c r="A24" s="2">
        <v>13</v>
      </c>
      <c r="B24" s="5"/>
      <c r="C24" s="7"/>
      <c r="D24" s="6"/>
    </row>
    <row r="25" spans="1:4" x14ac:dyDescent="0.25">
      <c r="A25" s="2">
        <v>73</v>
      </c>
      <c r="B25" s="5"/>
      <c r="C25" s="7"/>
      <c r="D25" s="6"/>
    </row>
    <row r="26" spans="1:4" x14ac:dyDescent="0.25">
      <c r="A26" s="2">
        <v>71</v>
      </c>
      <c r="B26" s="5"/>
      <c r="C26" s="7"/>
      <c r="D26" s="6"/>
    </row>
    <row r="27" spans="1:4" x14ac:dyDescent="0.25">
      <c r="A27" s="2">
        <v>84</v>
      </c>
      <c r="B27" s="5"/>
      <c r="C27" s="7"/>
      <c r="D27" s="6"/>
    </row>
    <row r="28" spans="1:4" x14ac:dyDescent="0.25">
      <c r="A28" s="2">
        <v>12</v>
      </c>
      <c r="B28" s="5"/>
      <c r="C28" s="7"/>
      <c r="D28" s="6"/>
    </row>
    <row r="29" spans="1:4" x14ac:dyDescent="0.25">
      <c r="A29" s="2">
        <v>77</v>
      </c>
      <c r="B29" s="5"/>
      <c r="C29" s="7"/>
      <c r="D29" s="6"/>
    </row>
    <row r="30" spans="1:4" x14ac:dyDescent="0.25">
      <c r="A30" s="2">
        <v>16</v>
      </c>
      <c r="B30" s="5"/>
      <c r="C30" s="7"/>
      <c r="D30" s="6"/>
    </row>
    <row r="31" spans="1:4" x14ac:dyDescent="0.25">
      <c r="A31" s="2">
        <v>94</v>
      </c>
      <c r="B31" s="5"/>
      <c r="C31" s="7"/>
      <c r="D31" s="6"/>
    </row>
    <row r="32" spans="1:4" x14ac:dyDescent="0.25">
      <c r="A32" s="2">
        <v>29</v>
      </c>
      <c r="B32" s="5"/>
      <c r="C32" s="7"/>
      <c r="D32" s="6"/>
    </row>
    <row r="33" spans="1:4" x14ac:dyDescent="0.25">
      <c r="A33" s="2">
        <v>8</v>
      </c>
      <c r="B33" s="5"/>
      <c r="C33" s="7"/>
      <c r="D33" s="6"/>
    </row>
    <row r="34" spans="1:4" x14ac:dyDescent="0.25">
      <c r="A34" s="2">
        <v>83</v>
      </c>
      <c r="B34" s="5"/>
      <c r="C34" s="7"/>
      <c r="D34" s="6"/>
    </row>
    <row r="35" spans="1:4" x14ac:dyDescent="0.25">
      <c r="A35" s="2">
        <v>53</v>
      </c>
      <c r="B35" s="5"/>
      <c r="C35" s="7"/>
      <c r="D35" s="6"/>
    </row>
    <row r="36" spans="1:4" x14ac:dyDescent="0.25">
      <c r="A36" s="2">
        <v>24</v>
      </c>
      <c r="B36" s="5"/>
      <c r="C36" s="7"/>
      <c r="D36" s="6"/>
    </row>
    <row r="37" spans="1:4" x14ac:dyDescent="0.25">
      <c r="A37" s="2">
        <v>10</v>
      </c>
      <c r="B37" s="5"/>
      <c r="C37" s="7"/>
      <c r="D37" s="6"/>
    </row>
    <row r="38" spans="1:4" x14ac:dyDescent="0.25">
      <c r="A38" s="2">
        <v>14</v>
      </c>
      <c r="B38" s="5"/>
      <c r="C38" s="7"/>
      <c r="D38" s="6"/>
    </row>
    <row r="39" spans="1:4" x14ac:dyDescent="0.25">
      <c r="A39" s="2">
        <v>32</v>
      </c>
      <c r="B39" s="5"/>
      <c r="C39" s="7"/>
      <c r="D39" s="6"/>
    </row>
    <row r="40" spans="1:4" x14ac:dyDescent="0.25">
      <c r="A40" s="2">
        <v>76</v>
      </c>
      <c r="B40" s="5"/>
      <c r="C40" s="7"/>
      <c r="D40" s="6"/>
    </row>
    <row r="41" spans="1:4" x14ac:dyDescent="0.25">
      <c r="A41" s="2">
        <v>8</v>
      </c>
      <c r="B41" s="5"/>
      <c r="C41" s="7"/>
      <c r="D41" s="6"/>
    </row>
    <row r="42" spans="1:4" x14ac:dyDescent="0.25">
      <c r="A42" s="2">
        <v>84</v>
      </c>
      <c r="B42" s="5"/>
      <c r="C42" s="7"/>
      <c r="D42" s="6"/>
    </row>
    <row r="43" spans="1:4" x14ac:dyDescent="0.25">
      <c r="A43" s="2">
        <v>82</v>
      </c>
      <c r="B43" s="5"/>
      <c r="C43" s="7"/>
      <c r="D43" s="6"/>
    </row>
    <row r="44" spans="1:4" x14ac:dyDescent="0.25">
      <c r="A44" s="2">
        <v>19</v>
      </c>
      <c r="B44" s="5"/>
      <c r="C44" s="7"/>
      <c r="D44" s="6"/>
    </row>
    <row r="45" spans="1:4" x14ac:dyDescent="0.25">
      <c r="A45" s="2">
        <v>77</v>
      </c>
      <c r="B45" s="5"/>
      <c r="C45" s="7"/>
      <c r="D45" s="6"/>
    </row>
    <row r="46" spans="1:4" x14ac:dyDescent="0.25">
      <c r="A46" s="2">
        <v>60</v>
      </c>
      <c r="B46" s="5"/>
      <c r="C46" s="7"/>
      <c r="D46" s="6"/>
    </row>
    <row r="47" spans="1:4" x14ac:dyDescent="0.25">
      <c r="A47" s="2">
        <v>56</v>
      </c>
      <c r="B47" s="5"/>
      <c r="C47" s="7"/>
      <c r="D47" s="6"/>
    </row>
    <row r="48" spans="1:4" x14ac:dyDescent="0.25">
      <c r="A48" s="2">
        <v>33</v>
      </c>
      <c r="B48" s="5"/>
      <c r="C48" s="7"/>
      <c r="D48" s="6"/>
    </row>
    <row r="49" spans="1:4" x14ac:dyDescent="0.25">
      <c r="A49" s="2">
        <v>4</v>
      </c>
      <c r="B49" s="5"/>
      <c r="C49" s="7"/>
      <c r="D49" s="6"/>
    </row>
    <row r="50" spans="1:4" x14ac:dyDescent="0.25">
      <c r="A50" s="2">
        <v>10</v>
      </c>
      <c r="B50" s="5"/>
      <c r="C50" s="7"/>
      <c r="D50" s="6"/>
    </row>
    <row r="51" spans="1:4" x14ac:dyDescent="0.25">
      <c r="A51" s="2">
        <v>81</v>
      </c>
      <c r="B51" s="5"/>
      <c r="C51" s="7"/>
      <c r="D51" s="6"/>
    </row>
    <row r="52" spans="1:4" x14ac:dyDescent="0.25">
      <c r="A52" s="2">
        <v>83</v>
      </c>
      <c r="B52" s="5"/>
      <c r="C52" s="7"/>
      <c r="D52" s="6"/>
    </row>
    <row r="53" spans="1:4" x14ac:dyDescent="0.25">
      <c r="A53" s="2">
        <v>91</v>
      </c>
      <c r="B53" s="5"/>
      <c r="C53" s="7"/>
      <c r="D53" s="6"/>
    </row>
  </sheetData>
  <mergeCells count="2">
    <mergeCell ref="B2:D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16EA-FD8F-4665-B9B9-3FF75C139C83}">
  <dimension ref="A1:O23"/>
  <sheetViews>
    <sheetView zoomScaleNormal="100" workbookViewId="0">
      <selection activeCell="K2" sqref="K2"/>
    </sheetView>
  </sheetViews>
  <sheetFormatPr defaultRowHeight="15" x14ac:dyDescent="0.25"/>
  <cols>
    <col min="1" max="1" width="14.85546875" customWidth="1"/>
    <col min="2" max="9" width="12.28515625" customWidth="1"/>
    <col min="10" max="10" width="16.85546875" customWidth="1"/>
    <col min="11" max="11" width="15.140625" customWidth="1"/>
  </cols>
  <sheetData>
    <row r="1" spans="1:15" ht="99" customHeight="1" x14ac:dyDescent="0.25">
      <c r="A1" s="96" t="s">
        <v>13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5" x14ac:dyDescent="0.25">
      <c r="A2" s="2"/>
      <c r="B2" s="4" t="s">
        <v>11</v>
      </c>
      <c r="C2" s="4">
        <v>3</v>
      </c>
      <c r="D2" s="4" t="s">
        <v>35</v>
      </c>
      <c r="E2" s="4">
        <v>3</v>
      </c>
      <c r="F2" s="4" t="s">
        <v>36</v>
      </c>
      <c r="G2" s="4">
        <v>2</v>
      </c>
      <c r="H2" s="4" t="s">
        <v>37</v>
      </c>
      <c r="I2" s="4">
        <v>1.5</v>
      </c>
      <c r="J2" s="5" t="s">
        <v>39</v>
      </c>
      <c r="K2" s="5"/>
    </row>
    <row r="3" spans="1:15" x14ac:dyDescent="0.25">
      <c r="A3" s="2" t="s">
        <v>10</v>
      </c>
      <c r="B3" s="2" t="s">
        <v>12</v>
      </c>
      <c r="C3" s="6" t="s">
        <v>34</v>
      </c>
      <c r="D3" s="2" t="s">
        <v>12</v>
      </c>
      <c r="E3" s="6" t="s">
        <v>34</v>
      </c>
      <c r="F3" s="2" t="s">
        <v>12</v>
      </c>
      <c r="G3" s="6" t="s">
        <v>34</v>
      </c>
      <c r="H3" s="2" t="s">
        <v>12</v>
      </c>
      <c r="I3" s="6" t="s">
        <v>34</v>
      </c>
      <c r="J3" s="7" t="s">
        <v>38</v>
      </c>
      <c r="K3" s="8" t="s">
        <v>40</v>
      </c>
    </row>
    <row r="4" spans="1:15" x14ac:dyDescent="0.25">
      <c r="A4" s="2" t="s">
        <v>14</v>
      </c>
      <c r="B4" s="2">
        <v>3</v>
      </c>
      <c r="C4" s="6"/>
      <c r="D4" s="2">
        <v>3.5</v>
      </c>
      <c r="E4" s="6"/>
      <c r="F4" s="2">
        <v>2.5</v>
      </c>
      <c r="G4" s="6"/>
      <c r="H4" s="2">
        <v>2</v>
      </c>
      <c r="I4" s="6"/>
      <c r="J4" s="7"/>
      <c r="K4" s="8"/>
    </row>
    <row r="5" spans="1:15" x14ac:dyDescent="0.25">
      <c r="A5" s="2" t="s">
        <v>15</v>
      </c>
      <c r="B5" s="2">
        <v>2.5</v>
      </c>
      <c r="C5" s="6"/>
      <c r="D5" s="2">
        <v>3</v>
      </c>
      <c r="E5" s="6"/>
      <c r="F5" s="2">
        <v>3.5</v>
      </c>
      <c r="G5" s="6"/>
      <c r="H5" s="2">
        <v>3</v>
      </c>
      <c r="I5" s="6"/>
      <c r="J5" s="7"/>
      <c r="K5" s="8"/>
    </row>
    <row r="6" spans="1:15" x14ac:dyDescent="0.25">
      <c r="A6" s="2" t="s">
        <v>16</v>
      </c>
      <c r="B6" s="2">
        <v>3.5</v>
      </c>
      <c r="C6" s="6"/>
      <c r="D6" s="2">
        <v>2</v>
      </c>
      <c r="E6" s="6"/>
      <c r="F6" s="2">
        <v>3</v>
      </c>
      <c r="G6" s="6"/>
      <c r="H6" s="2">
        <v>2.5</v>
      </c>
      <c r="I6" s="6"/>
      <c r="J6" s="7"/>
      <c r="K6" s="8"/>
    </row>
    <row r="7" spans="1:15" x14ac:dyDescent="0.25">
      <c r="A7" s="2" t="s">
        <v>17</v>
      </c>
      <c r="B7" s="2">
        <v>2</v>
      </c>
      <c r="C7" s="6"/>
      <c r="D7" s="2">
        <v>2.5</v>
      </c>
      <c r="E7" s="6"/>
      <c r="F7" s="2">
        <v>3</v>
      </c>
      <c r="G7" s="6"/>
      <c r="H7" s="2">
        <v>3.5</v>
      </c>
      <c r="I7" s="6"/>
      <c r="J7" s="7"/>
      <c r="K7" s="8"/>
    </row>
    <row r="8" spans="1:15" x14ac:dyDescent="0.25">
      <c r="A8" s="2" t="s">
        <v>18</v>
      </c>
      <c r="B8" s="2">
        <v>3</v>
      </c>
      <c r="C8" s="6"/>
      <c r="D8" s="2">
        <v>3</v>
      </c>
      <c r="E8" s="6"/>
      <c r="F8" s="2">
        <v>3</v>
      </c>
      <c r="G8" s="6"/>
      <c r="H8" s="2">
        <v>2</v>
      </c>
      <c r="I8" s="6"/>
      <c r="J8" s="7"/>
      <c r="K8" s="8"/>
    </row>
    <row r="9" spans="1:15" x14ac:dyDescent="0.25">
      <c r="A9" s="2" t="s">
        <v>19</v>
      </c>
      <c r="B9" s="2">
        <v>2.5</v>
      </c>
      <c r="C9" s="6"/>
      <c r="D9" s="2">
        <v>2</v>
      </c>
      <c r="E9" s="6"/>
      <c r="F9" s="2">
        <v>2.5</v>
      </c>
      <c r="G9" s="6"/>
      <c r="H9" s="2">
        <v>3</v>
      </c>
      <c r="I9" s="6"/>
      <c r="J9" s="7"/>
      <c r="K9" s="8"/>
    </row>
    <row r="10" spans="1:15" x14ac:dyDescent="0.25">
      <c r="A10" s="2" t="s">
        <v>20</v>
      </c>
      <c r="B10" s="2">
        <v>3.5</v>
      </c>
      <c r="C10" s="6"/>
      <c r="D10" s="2">
        <v>3</v>
      </c>
      <c r="E10" s="6"/>
      <c r="F10" s="2">
        <v>2</v>
      </c>
      <c r="G10" s="6"/>
      <c r="H10" s="2">
        <v>2.5</v>
      </c>
      <c r="I10" s="6"/>
      <c r="J10" s="7"/>
      <c r="K10" s="8"/>
    </row>
    <row r="11" spans="1:15" x14ac:dyDescent="0.25">
      <c r="A11" s="2" t="s">
        <v>21</v>
      </c>
      <c r="B11" s="2">
        <v>2</v>
      </c>
      <c r="C11" s="6"/>
      <c r="D11" s="2">
        <v>2.5</v>
      </c>
      <c r="E11" s="6"/>
      <c r="F11" s="2">
        <v>3.5</v>
      </c>
      <c r="G11" s="6"/>
      <c r="H11" s="2">
        <v>3</v>
      </c>
      <c r="I11" s="6"/>
      <c r="J11" s="7"/>
      <c r="K11" s="8"/>
    </row>
    <row r="12" spans="1:15" x14ac:dyDescent="0.25">
      <c r="A12" s="2" t="s">
        <v>22</v>
      </c>
      <c r="B12" s="2">
        <v>2.5</v>
      </c>
      <c r="C12" s="6"/>
      <c r="D12" s="2">
        <v>3.5</v>
      </c>
      <c r="E12" s="6"/>
      <c r="F12" s="2">
        <v>2</v>
      </c>
      <c r="G12" s="6"/>
      <c r="H12" s="2">
        <v>3</v>
      </c>
      <c r="I12" s="6"/>
      <c r="J12" s="7"/>
      <c r="K12" s="8"/>
    </row>
    <row r="13" spans="1:15" x14ac:dyDescent="0.25">
      <c r="A13" s="2" t="s">
        <v>23</v>
      </c>
      <c r="B13" s="2">
        <v>3</v>
      </c>
      <c r="C13" s="6"/>
      <c r="D13" s="2">
        <v>2</v>
      </c>
      <c r="E13" s="6"/>
      <c r="F13" s="2">
        <v>2.5</v>
      </c>
      <c r="G13" s="6"/>
      <c r="H13" s="2">
        <v>3.5</v>
      </c>
      <c r="I13" s="6"/>
      <c r="J13" s="7"/>
      <c r="K13" s="8"/>
    </row>
    <row r="14" spans="1:15" x14ac:dyDescent="0.25">
      <c r="A14" s="2" t="s">
        <v>24</v>
      </c>
      <c r="B14" s="2">
        <v>2</v>
      </c>
      <c r="C14" s="6"/>
      <c r="D14" s="2">
        <v>3</v>
      </c>
      <c r="E14" s="6"/>
      <c r="F14" s="2">
        <v>3</v>
      </c>
      <c r="G14" s="6"/>
      <c r="H14" s="2">
        <v>2.5</v>
      </c>
      <c r="I14" s="6"/>
      <c r="J14" s="7"/>
      <c r="K14" s="8"/>
    </row>
    <row r="15" spans="1:15" x14ac:dyDescent="0.25">
      <c r="A15" s="2" t="s">
        <v>25</v>
      </c>
      <c r="B15" s="2">
        <v>3.5</v>
      </c>
      <c r="C15" s="6"/>
      <c r="D15" s="2">
        <v>2.5</v>
      </c>
      <c r="E15" s="6"/>
      <c r="F15" s="2">
        <v>3</v>
      </c>
      <c r="G15" s="6"/>
      <c r="H15" s="2">
        <v>2</v>
      </c>
      <c r="I15" s="6"/>
      <c r="J15" s="7"/>
      <c r="K15" s="8"/>
    </row>
    <row r="16" spans="1:15" x14ac:dyDescent="0.25">
      <c r="A16" s="2" t="s">
        <v>26</v>
      </c>
      <c r="B16" s="2">
        <v>3</v>
      </c>
      <c r="C16" s="6"/>
      <c r="D16" s="2">
        <v>3.5</v>
      </c>
      <c r="E16" s="6"/>
      <c r="F16" s="2">
        <v>2</v>
      </c>
      <c r="G16" s="6"/>
      <c r="H16" s="2">
        <v>2.5</v>
      </c>
      <c r="I16" s="6"/>
      <c r="J16" s="7"/>
      <c r="K16" s="8"/>
    </row>
    <row r="17" spans="1:11" x14ac:dyDescent="0.25">
      <c r="A17" s="2" t="s">
        <v>27</v>
      </c>
      <c r="B17" s="2">
        <v>2.5</v>
      </c>
      <c r="C17" s="6"/>
      <c r="D17" s="2">
        <v>2</v>
      </c>
      <c r="E17" s="6"/>
      <c r="F17" s="2">
        <v>3.5</v>
      </c>
      <c r="G17" s="6"/>
      <c r="H17" s="2">
        <v>3</v>
      </c>
      <c r="I17" s="6"/>
      <c r="J17" s="7"/>
      <c r="K17" s="8"/>
    </row>
    <row r="18" spans="1:11" x14ac:dyDescent="0.25">
      <c r="A18" s="2" t="s">
        <v>28</v>
      </c>
      <c r="B18" s="2">
        <v>2</v>
      </c>
      <c r="C18" s="6"/>
      <c r="D18" s="2">
        <v>3</v>
      </c>
      <c r="E18" s="6"/>
      <c r="F18" s="2">
        <v>2.5</v>
      </c>
      <c r="G18" s="6"/>
      <c r="H18" s="2">
        <v>3.5</v>
      </c>
      <c r="I18" s="6"/>
      <c r="J18" s="7"/>
      <c r="K18" s="8"/>
    </row>
    <row r="19" spans="1:11" x14ac:dyDescent="0.25">
      <c r="A19" s="2" t="s">
        <v>29</v>
      </c>
      <c r="B19" s="2">
        <v>3</v>
      </c>
      <c r="C19" s="6"/>
      <c r="D19" s="2">
        <v>2.5</v>
      </c>
      <c r="E19" s="6"/>
      <c r="F19" s="2">
        <v>3</v>
      </c>
      <c r="G19" s="6"/>
      <c r="H19" s="2">
        <v>2</v>
      </c>
      <c r="I19" s="6"/>
      <c r="J19" s="7"/>
      <c r="K19" s="8"/>
    </row>
    <row r="20" spans="1:11" x14ac:dyDescent="0.25">
      <c r="A20" s="2" t="s">
        <v>30</v>
      </c>
      <c r="B20" s="2">
        <v>2.5</v>
      </c>
      <c r="C20" s="6"/>
      <c r="D20" s="2">
        <v>3.5</v>
      </c>
      <c r="E20" s="6"/>
      <c r="F20" s="2">
        <v>2</v>
      </c>
      <c r="G20" s="6"/>
      <c r="H20" s="2">
        <v>3</v>
      </c>
      <c r="I20" s="6"/>
      <c r="J20" s="7"/>
      <c r="K20" s="8"/>
    </row>
    <row r="21" spans="1:11" x14ac:dyDescent="0.25">
      <c r="A21" s="2" t="s">
        <v>31</v>
      </c>
      <c r="B21" s="2">
        <v>3</v>
      </c>
      <c r="C21" s="6"/>
      <c r="D21" s="2">
        <v>2</v>
      </c>
      <c r="E21" s="6"/>
      <c r="F21" s="2">
        <v>2.5</v>
      </c>
      <c r="G21" s="6"/>
      <c r="H21" s="2">
        <v>3.5</v>
      </c>
      <c r="I21" s="6"/>
      <c r="J21" s="7"/>
      <c r="K21" s="8"/>
    </row>
    <row r="22" spans="1:11" x14ac:dyDescent="0.25">
      <c r="A22" s="2" t="s">
        <v>32</v>
      </c>
      <c r="B22" s="2">
        <v>2</v>
      </c>
      <c r="C22" s="6"/>
      <c r="D22" s="2">
        <v>3</v>
      </c>
      <c r="E22" s="6"/>
      <c r="F22" s="2">
        <v>3.5</v>
      </c>
      <c r="G22" s="6"/>
      <c r="H22" s="2">
        <v>2.5</v>
      </c>
      <c r="I22" s="6"/>
      <c r="J22" s="7"/>
      <c r="K22" s="8"/>
    </row>
    <row r="23" spans="1:11" x14ac:dyDescent="0.25">
      <c r="A23" s="2" t="s">
        <v>33</v>
      </c>
      <c r="B23" s="2">
        <v>3.5</v>
      </c>
      <c r="C23" s="6"/>
      <c r="D23" s="2">
        <v>2.5</v>
      </c>
      <c r="E23" s="6"/>
      <c r="F23" s="2">
        <v>2</v>
      </c>
      <c r="G23" s="6"/>
      <c r="H23" s="2">
        <v>3</v>
      </c>
      <c r="I23" s="6"/>
      <c r="J23" s="7"/>
      <c r="K23" s="8"/>
    </row>
  </sheetData>
  <mergeCells count="1">
    <mergeCell ref="A1:O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57A4-B12E-484A-8313-C19CABBAE979}">
  <dimension ref="A1:D31"/>
  <sheetViews>
    <sheetView workbookViewId="0">
      <selection activeCell="I12" sqref="I12"/>
    </sheetView>
  </sheetViews>
  <sheetFormatPr defaultRowHeight="15" x14ac:dyDescent="0.25"/>
  <cols>
    <col min="1" max="1" width="15.5703125" bestFit="1" customWidth="1"/>
    <col min="2" max="2" width="6.42578125" bestFit="1" customWidth="1"/>
    <col min="3" max="3" width="10" bestFit="1" customWidth="1"/>
    <col min="4" max="4" width="12.140625" customWidth="1"/>
  </cols>
  <sheetData>
    <row r="1" spans="1:4" x14ac:dyDescent="0.25">
      <c r="A1" s="2" t="s">
        <v>41</v>
      </c>
      <c r="B1" s="2" t="s">
        <v>42</v>
      </c>
      <c r="C1" s="2" t="s">
        <v>74</v>
      </c>
      <c r="D1" s="6" t="s">
        <v>43</v>
      </c>
    </row>
    <row r="2" spans="1:4" x14ac:dyDescent="0.25">
      <c r="A2" s="2" t="s">
        <v>44</v>
      </c>
      <c r="B2" s="2">
        <v>60000</v>
      </c>
      <c r="C2" s="2">
        <v>4</v>
      </c>
      <c r="D2" s="6"/>
    </row>
    <row r="3" spans="1:4" x14ac:dyDescent="0.25">
      <c r="A3" s="2" t="s">
        <v>45</v>
      </c>
      <c r="B3" s="2">
        <v>55000</v>
      </c>
      <c r="C3" s="2">
        <v>2</v>
      </c>
      <c r="D3" s="6"/>
    </row>
    <row r="4" spans="1:4" x14ac:dyDescent="0.25">
      <c r="A4" s="2" t="s">
        <v>46</v>
      </c>
      <c r="B4" s="2">
        <v>65000</v>
      </c>
      <c r="C4" s="2">
        <v>5</v>
      </c>
      <c r="D4" s="6"/>
    </row>
    <row r="5" spans="1:4" x14ac:dyDescent="0.25">
      <c r="A5" s="2" t="s">
        <v>47</v>
      </c>
      <c r="B5" s="2">
        <v>58000</v>
      </c>
      <c r="C5" s="2">
        <v>3</v>
      </c>
      <c r="D5" s="6"/>
    </row>
    <row r="6" spans="1:4" x14ac:dyDescent="0.25">
      <c r="A6" s="2" t="s">
        <v>48</v>
      </c>
      <c r="B6" s="2">
        <v>62000</v>
      </c>
      <c r="C6" s="2">
        <v>1</v>
      </c>
      <c r="D6" s="6"/>
    </row>
    <row r="7" spans="1:4" x14ac:dyDescent="0.25">
      <c r="A7" s="2" t="s">
        <v>49</v>
      </c>
      <c r="B7" s="2">
        <v>56000</v>
      </c>
      <c r="C7" s="2">
        <v>5</v>
      </c>
      <c r="D7" s="6"/>
    </row>
    <row r="8" spans="1:4" x14ac:dyDescent="0.25">
      <c r="A8" s="2" t="s">
        <v>50</v>
      </c>
      <c r="B8" s="2">
        <v>63000</v>
      </c>
      <c r="C8" s="2">
        <v>3</v>
      </c>
      <c r="D8" s="6"/>
    </row>
    <row r="9" spans="1:4" x14ac:dyDescent="0.25">
      <c r="A9" s="2" t="s">
        <v>51</v>
      </c>
      <c r="B9" s="2">
        <v>57000</v>
      </c>
      <c r="C9" s="2">
        <v>1</v>
      </c>
      <c r="D9" s="6"/>
    </row>
    <row r="10" spans="1:4" x14ac:dyDescent="0.25">
      <c r="A10" s="2" t="s">
        <v>52</v>
      </c>
      <c r="B10" s="2">
        <v>61000</v>
      </c>
      <c r="C10" s="2">
        <v>4</v>
      </c>
      <c r="D10" s="6"/>
    </row>
    <row r="11" spans="1:4" x14ac:dyDescent="0.25">
      <c r="A11" s="2" t="s">
        <v>53</v>
      </c>
      <c r="B11" s="2">
        <v>59000</v>
      </c>
      <c r="C11" s="2">
        <v>2</v>
      </c>
      <c r="D11" s="6"/>
    </row>
    <row r="12" spans="1:4" x14ac:dyDescent="0.25">
      <c r="A12" s="2" t="s">
        <v>54</v>
      </c>
      <c r="B12" s="2">
        <v>64000</v>
      </c>
      <c r="C12" s="2">
        <v>5</v>
      </c>
      <c r="D12" s="6"/>
    </row>
    <row r="13" spans="1:4" x14ac:dyDescent="0.25">
      <c r="A13" s="2" t="s">
        <v>55</v>
      </c>
      <c r="B13" s="2">
        <v>55000</v>
      </c>
      <c r="C13" s="2">
        <v>1</v>
      </c>
      <c r="D13" s="6"/>
    </row>
    <row r="14" spans="1:4" x14ac:dyDescent="0.25">
      <c r="A14" s="2" t="s">
        <v>56</v>
      </c>
      <c r="B14" s="2">
        <v>66000</v>
      </c>
      <c r="C14" s="2">
        <v>4</v>
      </c>
      <c r="D14" s="6"/>
    </row>
    <row r="15" spans="1:4" x14ac:dyDescent="0.25">
      <c r="A15" s="2" t="s">
        <v>57</v>
      </c>
      <c r="B15" s="2">
        <v>58000</v>
      </c>
      <c r="C15" s="2">
        <v>2</v>
      </c>
      <c r="D15" s="6"/>
    </row>
    <row r="16" spans="1:4" x14ac:dyDescent="0.25">
      <c r="A16" s="2" t="s">
        <v>58</v>
      </c>
      <c r="B16" s="2">
        <v>62000</v>
      </c>
      <c r="C16" s="2">
        <v>5</v>
      </c>
      <c r="D16" s="6"/>
    </row>
    <row r="17" spans="1:4" x14ac:dyDescent="0.25">
      <c r="A17" s="2" t="s">
        <v>59</v>
      </c>
      <c r="B17" s="2">
        <v>56000</v>
      </c>
      <c r="C17" s="2">
        <v>4</v>
      </c>
      <c r="D17" s="6"/>
    </row>
    <row r="18" spans="1:4" x14ac:dyDescent="0.25">
      <c r="A18" s="2" t="s">
        <v>60</v>
      </c>
      <c r="B18" s="2">
        <v>63000</v>
      </c>
      <c r="C18" s="2">
        <v>1</v>
      </c>
      <c r="D18" s="6"/>
    </row>
    <row r="19" spans="1:4" x14ac:dyDescent="0.25">
      <c r="A19" s="2" t="s">
        <v>61</v>
      </c>
      <c r="B19" s="2">
        <v>57000</v>
      </c>
      <c r="C19" s="2">
        <v>2</v>
      </c>
      <c r="D19" s="6"/>
    </row>
    <row r="20" spans="1:4" x14ac:dyDescent="0.25">
      <c r="A20" s="2" t="s">
        <v>62</v>
      </c>
      <c r="B20" s="2">
        <v>61000</v>
      </c>
      <c r="C20" s="2">
        <v>3</v>
      </c>
      <c r="D20" s="6"/>
    </row>
    <row r="21" spans="1:4" x14ac:dyDescent="0.25">
      <c r="A21" s="2" t="s">
        <v>63</v>
      </c>
      <c r="B21" s="2">
        <v>59000</v>
      </c>
      <c r="C21" s="2">
        <v>5</v>
      </c>
      <c r="D21" s="6"/>
    </row>
    <row r="22" spans="1:4" x14ac:dyDescent="0.25">
      <c r="A22" s="2" t="s">
        <v>64</v>
      </c>
      <c r="B22" s="2">
        <v>64000</v>
      </c>
      <c r="C22" s="2">
        <v>2</v>
      </c>
      <c r="D22" s="6"/>
    </row>
    <row r="23" spans="1:4" x14ac:dyDescent="0.25">
      <c r="A23" s="2" t="s">
        <v>65</v>
      </c>
      <c r="B23" s="2">
        <v>55000</v>
      </c>
      <c r="C23" s="2">
        <v>3</v>
      </c>
      <c r="D23" s="6"/>
    </row>
    <row r="24" spans="1:4" x14ac:dyDescent="0.25">
      <c r="A24" s="2" t="s">
        <v>66</v>
      </c>
      <c r="B24" s="2">
        <v>66000</v>
      </c>
      <c r="C24" s="2">
        <v>1</v>
      </c>
      <c r="D24" s="6"/>
    </row>
    <row r="25" spans="1:4" x14ac:dyDescent="0.25">
      <c r="A25" s="2" t="s">
        <v>67</v>
      </c>
      <c r="B25" s="2">
        <v>58000</v>
      </c>
      <c r="C25" s="2">
        <v>4</v>
      </c>
      <c r="D25" s="6"/>
    </row>
    <row r="26" spans="1:4" x14ac:dyDescent="0.25">
      <c r="A26" s="2" t="s">
        <v>68</v>
      </c>
      <c r="B26" s="2">
        <v>62000</v>
      </c>
      <c r="C26" s="2">
        <v>5</v>
      </c>
      <c r="D26" s="6"/>
    </row>
    <row r="27" spans="1:4" x14ac:dyDescent="0.25">
      <c r="A27" s="2" t="s">
        <v>69</v>
      </c>
      <c r="B27" s="2">
        <v>56000</v>
      </c>
      <c r="C27" s="2">
        <v>1</v>
      </c>
      <c r="D27" s="6"/>
    </row>
    <row r="28" spans="1:4" x14ac:dyDescent="0.25">
      <c r="A28" s="2" t="s">
        <v>70</v>
      </c>
      <c r="B28" s="2">
        <v>63000</v>
      </c>
      <c r="C28" s="2">
        <v>4</v>
      </c>
      <c r="D28" s="6"/>
    </row>
    <row r="29" spans="1:4" x14ac:dyDescent="0.25">
      <c r="A29" s="2" t="s">
        <v>71</v>
      </c>
      <c r="B29" s="2">
        <v>57000</v>
      </c>
      <c r="C29" s="2">
        <v>3</v>
      </c>
      <c r="D29" s="6"/>
    </row>
    <row r="30" spans="1:4" x14ac:dyDescent="0.25">
      <c r="A30" s="2" t="s">
        <v>72</v>
      </c>
      <c r="B30" s="2">
        <v>61000</v>
      </c>
      <c r="C30" s="2">
        <v>5</v>
      </c>
      <c r="D30" s="6"/>
    </row>
    <row r="31" spans="1:4" x14ac:dyDescent="0.25">
      <c r="A31" s="2" t="s">
        <v>73</v>
      </c>
      <c r="B31" s="2">
        <v>59000</v>
      </c>
      <c r="C31" s="2">
        <v>2</v>
      </c>
      <c r="D31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D15E-0AB4-464D-80A2-BA6F6185910C}">
  <dimension ref="A1:D31"/>
  <sheetViews>
    <sheetView workbookViewId="0">
      <selection activeCell="L23" sqref="L23"/>
    </sheetView>
  </sheetViews>
  <sheetFormatPr defaultRowHeight="15" x14ac:dyDescent="0.25"/>
  <cols>
    <col min="1" max="1" width="15.5703125" bestFit="1" customWidth="1"/>
    <col min="2" max="2" width="6.42578125" bestFit="1" customWidth="1"/>
    <col min="3" max="3" width="10" bestFit="1" customWidth="1"/>
    <col min="4" max="4" width="12.140625" customWidth="1"/>
  </cols>
  <sheetData>
    <row r="1" spans="1:4" x14ac:dyDescent="0.25">
      <c r="A1" s="2" t="s">
        <v>41</v>
      </c>
      <c r="B1" s="2" t="s">
        <v>42</v>
      </c>
      <c r="C1" s="2" t="s">
        <v>74</v>
      </c>
      <c r="D1" s="6" t="s">
        <v>43</v>
      </c>
    </row>
    <row r="2" spans="1:4" x14ac:dyDescent="0.25">
      <c r="A2" s="2" t="s">
        <v>44</v>
      </c>
      <c r="B2" s="2">
        <v>60000</v>
      </c>
      <c r="C2" s="2">
        <v>4</v>
      </c>
      <c r="D2" s="6"/>
    </row>
    <row r="3" spans="1:4" x14ac:dyDescent="0.25">
      <c r="A3" s="2" t="s">
        <v>45</v>
      </c>
      <c r="B3" s="2">
        <v>55000</v>
      </c>
      <c r="C3" s="2">
        <v>2</v>
      </c>
      <c r="D3" s="6"/>
    </row>
    <row r="4" spans="1:4" x14ac:dyDescent="0.25">
      <c r="A4" s="2" t="s">
        <v>46</v>
      </c>
      <c r="B4" s="2">
        <v>65000</v>
      </c>
      <c r="C4" s="2">
        <v>5</v>
      </c>
      <c r="D4" s="6"/>
    </row>
    <row r="5" spans="1:4" x14ac:dyDescent="0.25">
      <c r="A5" s="2" t="s">
        <v>47</v>
      </c>
      <c r="B5" s="2">
        <v>58000</v>
      </c>
      <c r="C5" s="2">
        <v>3</v>
      </c>
      <c r="D5" s="6"/>
    </row>
    <row r="6" spans="1:4" x14ac:dyDescent="0.25">
      <c r="A6" s="2" t="s">
        <v>48</v>
      </c>
      <c r="B6" s="2">
        <v>62000</v>
      </c>
      <c r="C6" s="2">
        <v>1</v>
      </c>
      <c r="D6" s="6"/>
    </row>
    <row r="7" spans="1:4" x14ac:dyDescent="0.25">
      <c r="A7" s="2" t="s">
        <v>49</v>
      </c>
      <c r="B7" s="2">
        <v>56000</v>
      </c>
      <c r="C7" s="2">
        <v>5</v>
      </c>
      <c r="D7" s="6"/>
    </row>
    <row r="8" spans="1:4" x14ac:dyDescent="0.25">
      <c r="A8" s="2" t="s">
        <v>50</v>
      </c>
      <c r="B8" s="2">
        <v>63000</v>
      </c>
      <c r="C8" s="2">
        <v>3</v>
      </c>
      <c r="D8" s="6"/>
    </row>
    <row r="9" spans="1:4" x14ac:dyDescent="0.25">
      <c r="A9" s="2" t="s">
        <v>51</v>
      </c>
      <c r="B9" s="2">
        <v>57000</v>
      </c>
      <c r="C9" s="2">
        <v>1</v>
      </c>
      <c r="D9" s="6"/>
    </row>
    <row r="10" spans="1:4" x14ac:dyDescent="0.25">
      <c r="A10" s="2" t="s">
        <v>52</v>
      </c>
      <c r="B10" s="2">
        <v>61000</v>
      </c>
      <c r="C10" s="2">
        <v>4</v>
      </c>
      <c r="D10" s="6"/>
    </row>
    <row r="11" spans="1:4" x14ac:dyDescent="0.25">
      <c r="A11" s="2" t="s">
        <v>53</v>
      </c>
      <c r="B11" s="2">
        <v>59000</v>
      </c>
      <c r="C11" s="2">
        <v>2</v>
      </c>
      <c r="D11" s="6"/>
    </row>
    <row r="12" spans="1:4" x14ac:dyDescent="0.25">
      <c r="A12" s="2" t="s">
        <v>54</v>
      </c>
      <c r="B12" s="2">
        <v>64000</v>
      </c>
      <c r="C12" s="2">
        <v>5</v>
      </c>
      <c r="D12" s="6"/>
    </row>
    <row r="13" spans="1:4" x14ac:dyDescent="0.25">
      <c r="A13" s="2" t="s">
        <v>55</v>
      </c>
      <c r="B13" s="2">
        <v>55000</v>
      </c>
      <c r="C13" s="2">
        <v>1</v>
      </c>
      <c r="D13" s="6"/>
    </row>
    <row r="14" spans="1:4" x14ac:dyDescent="0.25">
      <c r="A14" s="2" t="s">
        <v>56</v>
      </c>
      <c r="B14" s="2">
        <v>66000</v>
      </c>
      <c r="C14" s="2">
        <v>4</v>
      </c>
      <c r="D14" s="6"/>
    </row>
    <row r="15" spans="1:4" x14ac:dyDescent="0.25">
      <c r="A15" s="2" t="s">
        <v>57</v>
      </c>
      <c r="B15" s="2">
        <v>58000</v>
      </c>
      <c r="C15" s="2">
        <v>2</v>
      </c>
      <c r="D15" s="6"/>
    </row>
    <row r="16" spans="1:4" x14ac:dyDescent="0.25">
      <c r="A16" s="2" t="s">
        <v>58</v>
      </c>
      <c r="B16" s="2">
        <v>62000</v>
      </c>
      <c r="C16" s="2">
        <v>5</v>
      </c>
      <c r="D16" s="6"/>
    </row>
    <row r="17" spans="1:4" x14ac:dyDescent="0.25">
      <c r="A17" s="2" t="s">
        <v>59</v>
      </c>
      <c r="B17" s="2">
        <v>56000</v>
      </c>
      <c r="C17" s="2">
        <v>4</v>
      </c>
      <c r="D17" s="6"/>
    </row>
    <row r="18" spans="1:4" x14ac:dyDescent="0.25">
      <c r="A18" s="2" t="s">
        <v>60</v>
      </c>
      <c r="B18" s="2">
        <v>63000</v>
      </c>
      <c r="C18" s="2">
        <v>1</v>
      </c>
      <c r="D18" s="6"/>
    </row>
    <row r="19" spans="1:4" x14ac:dyDescent="0.25">
      <c r="A19" s="2" t="s">
        <v>61</v>
      </c>
      <c r="B19" s="2">
        <v>57000</v>
      </c>
      <c r="C19" s="2">
        <v>2</v>
      </c>
      <c r="D19" s="6"/>
    </row>
    <row r="20" spans="1:4" x14ac:dyDescent="0.25">
      <c r="A20" s="2" t="s">
        <v>62</v>
      </c>
      <c r="B20" s="2">
        <v>61000</v>
      </c>
      <c r="C20" s="2">
        <v>3</v>
      </c>
      <c r="D20" s="6"/>
    </row>
    <row r="21" spans="1:4" x14ac:dyDescent="0.25">
      <c r="A21" s="2" t="s">
        <v>63</v>
      </c>
      <c r="B21" s="2">
        <v>59000</v>
      </c>
      <c r="C21" s="2">
        <v>5</v>
      </c>
      <c r="D21" s="6"/>
    </row>
    <row r="22" spans="1:4" x14ac:dyDescent="0.25">
      <c r="A22" s="2" t="s">
        <v>64</v>
      </c>
      <c r="B22" s="2">
        <v>64000</v>
      </c>
      <c r="C22" s="2">
        <v>2</v>
      </c>
      <c r="D22" s="6"/>
    </row>
    <row r="23" spans="1:4" x14ac:dyDescent="0.25">
      <c r="A23" s="2" t="s">
        <v>65</v>
      </c>
      <c r="B23" s="2">
        <v>55000</v>
      </c>
      <c r="C23" s="2">
        <v>3</v>
      </c>
      <c r="D23" s="6"/>
    </row>
    <row r="24" spans="1:4" x14ac:dyDescent="0.25">
      <c r="A24" s="2" t="s">
        <v>66</v>
      </c>
      <c r="B24" s="2">
        <v>66000</v>
      </c>
      <c r="C24" s="2">
        <v>1</v>
      </c>
      <c r="D24" s="6"/>
    </row>
    <row r="25" spans="1:4" x14ac:dyDescent="0.25">
      <c r="A25" s="2" t="s">
        <v>67</v>
      </c>
      <c r="B25" s="2">
        <v>58000</v>
      </c>
      <c r="C25" s="2">
        <v>4</v>
      </c>
      <c r="D25" s="6"/>
    </row>
    <row r="26" spans="1:4" x14ac:dyDescent="0.25">
      <c r="A26" s="2" t="s">
        <v>68</v>
      </c>
      <c r="B26" s="2">
        <v>62000</v>
      </c>
      <c r="C26" s="2">
        <v>5</v>
      </c>
      <c r="D26" s="6"/>
    </row>
    <row r="27" spans="1:4" x14ac:dyDescent="0.25">
      <c r="A27" s="2" t="s">
        <v>69</v>
      </c>
      <c r="B27" s="2">
        <v>56000</v>
      </c>
      <c r="C27" s="2">
        <v>1</v>
      </c>
      <c r="D27" s="6"/>
    </row>
    <row r="28" spans="1:4" x14ac:dyDescent="0.25">
      <c r="A28" s="2" t="s">
        <v>70</v>
      </c>
      <c r="B28" s="2">
        <v>63000</v>
      </c>
      <c r="C28" s="2">
        <v>4</v>
      </c>
      <c r="D28" s="6"/>
    </row>
    <row r="29" spans="1:4" x14ac:dyDescent="0.25">
      <c r="A29" s="2" t="s">
        <v>71</v>
      </c>
      <c r="B29" s="2">
        <v>57000</v>
      </c>
      <c r="C29" s="2">
        <v>3</v>
      </c>
      <c r="D29" s="6"/>
    </row>
    <row r="30" spans="1:4" x14ac:dyDescent="0.25">
      <c r="A30" s="2" t="s">
        <v>72</v>
      </c>
      <c r="B30" s="2">
        <v>61000</v>
      </c>
      <c r="C30" s="2">
        <v>5</v>
      </c>
      <c r="D30" s="6"/>
    </row>
    <row r="31" spans="1:4" x14ac:dyDescent="0.25">
      <c r="A31" s="2" t="s">
        <v>73</v>
      </c>
      <c r="B31" s="2">
        <v>59000</v>
      </c>
      <c r="C31" s="2">
        <v>2</v>
      </c>
      <c r="D31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C262-0BA9-451F-BB39-FB199BA28D0E}">
  <dimension ref="A1:H31"/>
  <sheetViews>
    <sheetView workbookViewId="0">
      <selection activeCell="K37" sqref="K37"/>
    </sheetView>
  </sheetViews>
  <sheetFormatPr defaultRowHeight="15" x14ac:dyDescent="0.25"/>
  <cols>
    <col min="1" max="1" width="15.5703125" bestFit="1" customWidth="1"/>
    <col min="2" max="2" width="6.42578125" bestFit="1" customWidth="1"/>
    <col min="3" max="3" width="10" bestFit="1" customWidth="1"/>
    <col min="4" max="4" width="12.140625" customWidth="1"/>
    <col min="8" max="8" width="10.7109375" customWidth="1"/>
  </cols>
  <sheetData>
    <row r="1" spans="1:8" x14ac:dyDescent="0.25">
      <c r="A1" s="2" t="s">
        <v>41</v>
      </c>
      <c r="B1" s="2" t="s">
        <v>42</v>
      </c>
      <c r="C1" s="2" t="s">
        <v>74</v>
      </c>
      <c r="D1" s="6" t="s">
        <v>43</v>
      </c>
    </row>
    <row r="2" spans="1:8" x14ac:dyDescent="0.25">
      <c r="A2" s="2" t="s">
        <v>44</v>
      </c>
      <c r="B2" s="2">
        <v>60000</v>
      </c>
      <c r="C2" s="2">
        <v>4</v>
      </c>
      <c r="D2" s="6"/>
    </row>
    <row r="3" spans="1:8" x14ac:dyDescent="0.25">
      <c r="A3" s="2" t="s">
        <v>45</v>
      </c>
      <c r="B3" s="2">
        <v>55000</v>
      </c>
      <c r="C3" s="2">
        <v>2</v>
      </c>
      <c r="D3" s="6"/>
    </row>
    <row r="4" spans="1:8" x14ac:dyDescent="0.25">
      <c r="A4" s="2" t="s">
        <v>46</v>
      </c>
      <c r="B4" s="2">
        <v>65000</v>
      </c>
      <c r="C4" s="2">
        <v>5</v>
      </c>
      <c r="D4" s="6"/>
    </row>
    <row r="5" spans="1:8" x14ac:dyDescent="0.25">
      <c r="A5" s="2" t="s">
        <v>47</v>
      </c>
      <c r="B5" s="2">
        <v>58000</v>
      </c>
      <c r="C5" s="2">
        <v>3</v>
      </c>
      <c r="D5" s="6"/>
    </row>
    <row r="6" spans="1:8" x14ac:dyDescent="0.25">
      <c r="A6" s="2" t="s">
        <v>48</v>
      </c>
      <c r="B6" s="2">
        <v>62000</v>
      </c>
      <c r="C6" s="2">
        <v>1</v>
      </c>
      <c r="D6" s="6"/>
    </row>
    <row r="7" spans="1:8" x14ac:dyDescent="0.25">
      <c r="A7" s="2" t="s">
        <v>49</v>
      </c>
      <c r="B7" s="2">
        <v>56000</v>
      </c>
      <c r="C7" s="2">
        <v>5</v>
      </c>
      <c r="D7" s="6"/>
    </row>
    <row r="8" spans="1:8" x14ac:dyDescent="0.25">
      <c r="A8" s="2" t="s">
        <v>50</v>
      </c>
      <c r="B8" s="2">
        <v>63000</v>
      </c>
      <c r="C8" s="2">
        <v>3</v>
      </c>
      <c r="D8" s="6"/>
    </row>
    <row r="9" spans="1:8" x14ac:dyDescent="0.25">
      <c r="A9" s="2" t="s">
        <v>51</v>
      </c>
      <c r="B9" s="2">
        <v>57000</v>
      </c>
      <c r="C9" s="2">
        <v>1</v>
      </c>
      <c r="D9" s="6"/>
      <c r="G9" s="2" t="s">
        <v>74</v>
      </c>
      <c r="H9" s="2" t="s">
        <v>75</v>
      </c>
    </row>
    <row r="10" spans="1:8" x14ac:dyDescent="0.25">
      <c r="A10" s="2" t="s">
        <v>52</v>
      </c>
      <c r="B10" s="2">
        <v>61000</v>
      </c>
      <c r="C10" s="2">
        <v>4</v>
      </c>
      <c r="D10" s="6"/>
      <c r="G10" s="2">
        <v>1</v>
      </c>
      <c r="H10" s="2">
        <v>1000</v>
      </c>
    </row>
    <row r="11" spans="1:8" x14ac:dyDescent="0.25">
      <c r="A11" s="2" t="s">
        <v>53</v>
      </c>
      <c r="B11" s="2">
        <v>59000</v>
      </c>
      <c r="C11" s="2">
        <v>2</v>
      </c>
      <c r="D11" s="6"/>
      <c r="G11" s="2">
        <v>2</v>
      </c>
      <c r="H11" s="2">
        <v>1500</v>
      </c>
    </row>
    <row r="12" spans="1:8" x14ac:dyDescent="0.25">
      <c r="A12" s="2" t="s">
        <v>54</v>
      </c>
      <c r="B12" s="2">
        <v>64000</v>
      </c>
      <c r="C12" s="2">
        <v>5</v>
      </c>
      <c r="D12" s="6"/>
      <c r="G12" s="2">
        <v>3</v>
      </c>
      <c r="H12" s="2">
        <v>2500</v>
      </c>
    </row>
    <row r="13" spans="1:8" x14ac:dyDescent="0.25">
      <c r="A13" s="2" t="s">
        <v>55</v>
      </c>
      <c r="B13" s="2">
        <v>55000</v>
      </c>
      <c r="C13" s="2">
        <v>1</v>
      </c>
      <c r="D13" s="6"/>
      <c r="G13" s="2">
        <v>4</v>
      </c>
      <c r="H13" s="2">
        <v>4500</v>
      </c>
    </row>
    <row r="14" spans="1:8" x14ac:dyDescent="0.25">
      <c r="A14" s="2" t="s">
        <v>56</v>
      </c>
      <c r="B14" s="2">
        <v>66000</v>
      </c>
      <c r="C14" s="2">
        <v>4</v>
      </c>
      <c r="D14" s="6"/>
      <c r="G14" s="2">
        <v>5</v>
      </c>
      <c r="H14" s="2">
        <v>5000</v>
      </c>
    </row>
    <row r="15" spans="1:8" x14ac:dyDescent="0.25">
      <c r="A15" s="2" t="s">
        <v>57</v>
      </c>
      <c r="B15" s="2">
        <v>58000</v>
      </c>
      <c r="C15" s="2">
        <v>2</v>
      </c>
      <c r="D15" s="6"/>
    </row>
    <row r="16" spans="1:8" x14ac:dyDescent="0.25">
      <c r="A16" s="2" t="s">
        <v>58</v>
      </c>
      <c r="B16" s="2">
        <v>62000</v>
      </c>
      <c r="C16" s="2">
        <v>5</v>
      </c>
      <c r="D16" s="6"/>
    </row>
    <row r="17" spans="1:4" x14ac:dyDescent="0.25">
      <c r="A17" s="2" t="s">
        <v>59</v>
      </c>
      <c r="B17" s="2">
        <v>56000</v>
      </c>
      <c r="C17" s="2">
        <v>4</v>
      </c>
      <c r="D17" s="6"/>
    </row>
    <row r="18" spans="1:4" x14ac:dyDescent="0.25">
      <c r="A18" s="2" t="s">
        <v>60</v>
      </c>
      <c r="B18" s="2">
        <v>63000</v>
      </c>
      <c r="C18" s="2">
        <v>1</v>
      </c>
      <c r="D18" s="6"/>
    </row>
    <row r="19" spans="1:4" x14ac:dyDescent="0.25">
      <c r="A19" s="2" t="s">
        <v>61</v>
      </c>
      <c r="B19" s="2">
        <v>57000</v>
      </c>
      <c r="C19" s="2">
        <v>2</v>
      </c>
      <c r="D19" s="6"/>
    </row>
    <row r="20" spans="1:4" x14ac:dyDescent="0.25">
      <c r="A20" s="2" t="s">
        <v>62</v>
      </c>
      <c r="B20" s="2">
        <v>61000</v>
      </c>
      <c r="C20" s="2">
        <v>3</v>
      </c>
      <c r="D20" s="6"/>
    </row>
    <row r="21" spans="1:4" x14ac:dyDescent="0.25">
      <c r="A21" s="2" t="s">
        <v>63</v>
      </c>
      <c r="B21" s="2">
        <v>59000</v>
      </c>
      <c r="C21" s="2">
        <v>5</v>
      </c>
      <c r="D21" s="6"/>
    </row>
    <row r="22" spans="1:4" x14ac:dyDescent="0.25">
      <c r="A22" s="2" t="s">
        <v>64</v>
      </c>
      <c r="B22" s="2">
        <v>64000</v>
      </c>
      <c r="C22" s="2">
        <v>2</v>
      </c>
      <c r="D22" s="6"/>
    </row>
    <row r="23" spans="1:4" x14ac:dyDescent="0.25">
      <c r="A23" s="2" t="s">
        <v>65</v>
      </c>
      <c r="B23" s="2">
        <v>55000</v>
      </c>
      <c r="C23" s="2">
        <v>3</v>
      </c>
      <c r="D23" s="6"/>
    </row>
    <row r="24" spans="1:4" x14ac:dyDescent="0.25">
      <c r="A24" s="2" t="s">
        <v>66</v>
      </c>
      <c r="B24" s="2">
        <v>66000</v>
      </c>
      <c r="C24" s="2">
        <v>1</v>
      </c>
      <c r="D24" s="6"/>
    </row>
    <row r="25" spans="1:4" x14ac:dyDescent="0.25">
      <c r="A25" s="2" t="s">
        <v>67</v>
      </c>
      <c r="B25" s="2">
        <v>58000</v>
      </c>
      <c r="C25" s="2">
        <v>4</v>
      </c>
      <c r="D25" s="6"/>
    </row>
    <row r="26" spans="1:4" x14ac:dyDescent="0.25">
      <c r="A26" s="2" t="s">
        <v>68</v>
      </c>
      <c r="B26" s="2">
        <v>62000</v>
      </c>
      <c r="C26" s="2">
        <v>5</v>
      </c>
      <c r="D26" s="6"/>
    </row>
    <row r="27" spans="1:4" x14ac:dyDescent="0.25">
      <c r="A27" s="2" t="s">
        <v>69</v>
      </c>
      <c r="B27" s="2">
        <v>56000</v>
      </c>
      <c r="C27" s="2">
        <v>1</v>
      </c>
      <c r="D27" s="6"/>
    </row>
    <row r="28" spans="1:4" x14ac:dyDescent="0.25">
      <c r="A28" s="2" t="s">
        <v>70</v>
      </c>
      <c r="B28" s="2">
        <v>63000</v>
      </c>
      <c r="C28" s="2">
        <v>4</v>
      </c>
      <c r="D28" s="6"/>
    </row>
    <row r="29" spans="1:4" x14ac:dyDescent="0.25">
      <c r="A29" s="2" t="s">
        <v>71</v>
      </c>
      <c r="B29" s="2">
        <v>57000</v>
      </c>
      <c r="C29" s="2">
        <v>3</v>
      </c>
      <c r="D29" s="6"/>
    </row>
    <row r="30" spans="1:4" x14ac:dyDescent="0.25">
      <c r="A30" s="2" t="s">
        <v>72</v>
      </c>
      <c r="B30" s="2">
        <v>61000</v>
      </c>
      <c r="C30" s="2">
        <v>5</v>
      </c>
      <c r="D30" s="6"/>
    </row>
    <row r="31" spans="1:4" x14ac:dyDescent="0.25">
      <c r="A31" s="2" t="s">
        <v>73</v>
      </c>
      <c r="B31" s="2">
        <v>59000</v>
      </c>
      <c r="C31" s="2">
        <v>2</v>
      </c>
      <c r="D31" s="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8809-BC15-4DB3-8185-2E788EC60FF7}">
  <dimension ref="A1:O41"/>
  <sheetViews>
    <sheetView workbookViewId="0">
      <selection activeCell="F8" sqref="F8"/>
    </sheetView>
  </sheetViews>
  <sheetFormatPr defaultRowHeight="15" x14ac:dyDescent="0.25"/>
  <cols>
    <col min="1" max="1" width="9.7109375" bestFit="1" customWidth="1"/>
    <col min="2" max="2" width="5" bestFit="1" customWidth="1"/>
    <col min="3" max="3" width="15" bestFit="1" customWidth="1"/>
    <col min="4" max="4" width="12" bestFit="1" customWidth="1"/>
    <col min="5" max="5" width="12.140625" bestFit="1" customWidth="1"/>
    <col min="6" max="6" width="9.85546875" bestFit="1" customWidth="1"/>
    <col min="9" max="9" width="13.42578125" customWidth="1"/>
  </cols>
  <sheetData>
    <row r="1" spans="1:15" x14ac:dyDescent="0.25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6" t="s">
        <v>81</v>
      </c>
    </row>
    <row r="2" spans="1:15" x14ac:dyDescent="0.25">
      <c r="A2" s="2" t="s">
        <v>82</v>
      </c>
      <c r="B2" s="2">
        <v>2023</v>
      </c>
      <c r="C2" s="2" t="s">
        <v>83</v>
      </c>
      <c r="D2" s="2">
        <v>15000</v>
      </c>
      <c r="E2" s="2">
        <v>14300</v>
      </c>
      <c r="F2" s="6"/>
    </row>
    <row r="3" spans="1:15" x14ac:dyDescent="0.25">
      <c r="A3" s="2" t="s">
        <v>82</v>
      </c>
      <c r="B3" s="2">
        <v>2023</v>
      </c>
      <c r="C3" s="2" t="s">
        <v>84</v>
      </c>
      <c r="D3" s="2">
        <v>12000</v>
      </c>
      <c r="E3" s="2">
        <v>12600</v>
      </c>
      <c r="F3" s="6"/>
      <c r="H3" s="24" t="s">
        <v>94</v>
      </c>
      <c r="I3" s="24"/>
      <c r="K3" t="s">
        <v>97</v>
      </c>
    </row>
    <row r="4" spans="1:15" ht="15.75" thickBot="1" x14ac:dyDescent="0.3">
      <c r="A4" s="2" t="s">
        <v>82</v>
      </c>
      <c r="B4" s="2">
        <v>2023</v>
      </c>
      <c r="C4" s="2" t="s">
        <v>85</v>
      </c>
      <c r="D4" s="2">
        <v>18000</v>
      </c>
      <c r="E4" s="2">
        <v>17600</v>
      </c>
      <c r="F4" s="6"/>
    </row>
    <row r="5" spans="1:15" x14ac:dyDescent="0.25">
      <c r="A5" s="2" t="s">
        <v>82</v>
      </c>
      <c r="B5" s="2">
        <v>2023</v>
      </c>
      <c r="C5" s="2" t="s">
        <v>87</v>
      </c>
      <c r="D5" s="2">
        <v>20000</v>
      </c>
      <c r="E5" s="2">
        <v>20600</v>
      </c>
      <c r="F5" s="6"/>
      <c r="H5" s="16" t="s">
        <v>76</v>
      </c>
      <c r="I5" s="17" t="s">
        <v>82</v>
      </c>
      <c r="J5" s="18"/>
      <c r="K5" s="18"/>
      <c r="L5" s="18"/>
      <c r="M5" s="18"/>
      <c r="N5" s="18"/>
      <c r="O5" s="19"/>
    </row>
    <row r="6" spans="1:15" x14ac:dyDescent="0.25">
      <c r="A6" s="2" t="s">
        <v>82</v>
      </c>
      <c r="B6" s="2">
        <v>2024</v>
      </c>
      <c r="C6" s="2" t="s">
        <v>83</v>
      </c>
      <c r="D6" s="2">
        <v>16000</v>
      </c>
      <c r="E6" s="2">
        <v>15800</v>
      </c>
      <c r="F6" s="6"/>
      <c r="H6" s="20" t="s">
        <v>77</v>
      </c>
      <c r="I6" s="15">
        <v>2024</v>
      </c>
      <c r="O6" s="21"/>
    </row>
    <row r="7" spans="1:15" x14ac:dyDescent="0.25">
      <c r="A7" s="2" t="s">
        <v>82</v>
      </c>
      <c r="B7" s="2">
        <v>2024</v>
      </c>
      <c r="C7" s="2" t="s">
        <v>84</v>
      </c>
      <c r="D7" s="2">
        <v>12500</v>
      </c>
      <c r="E7" s="2">
        <v>13200</v>
      </c>
      <c r="F7" s="6"/>
      <c r="H7" s="20" t="s">
        <v>86</v>
      </c>
      <c r="I7" s="15" t="s">
        <v>83</v>
      </c>
      <c r="O7" s="21"/>
    </row>
    <row r="8" spans="1:15" x14ac:dyDescent="0.25">
      <c r="A8" s="2" t="s">
        <v>82</v>
      </c>
      <c r="B8" s="2">
        <v>2024</v>
      </c>
      <c r="C8" s="2" t="s">
        <v>85</v>
      </c>
      <c r="D8" s="2">
        <v>18500</v>
      </c>
      <c r="E8" s="2">
        <v>17900</v>
      </c>
      <c r="F8" s="6"/>
      <c r="H8" s="22"/>
      <c r="O8" s="21"/>
    </row>
    <row r="9" spans="1:15" x14ac:dyDescent="0.25">
      <c r="A9" s="2" t="s">
        <v>82</v>
      </c>
      <c r="B9" s="2">
        <v>2024</v>
      </c>
      <c r="C9" s="2" t="s">
        <v>87</v>
      </c>
      <c r="D9" s="2">
        <v>21000</v>
      </c>
      <c r="E9" s="2">
        <v>21800</v>
      </c>
      <c r="F9" s="6"/>
      <c r="H9" s="23" t="s">
        <v>89</v>
      </c>
      <c r="I9" s="24"/>
      <c r="K9" t="s">
        <v>98</v>
      </c>
      <c r="O9" s="21"/>
    </row>
    <row r="10" spans="1:15" ht="15.75" thickBot="1" x14ac:dyDescent="0.3">
      <c r="A10" s="2" t="s">
        <v>88</v>
      </c>
      <c r="B10" s="2">
        <v>2023</v>
      </c>
      <c r="C10" s="2" t="s">
        <v>83</v>
      </c>
      <c r="D10" s="2">
        <v>13000</v>
      </c>
      <c r="E10" s="2">
        <v>12400</v>
      </c>
      <c r="F10" s="6"/>
      <c r="H10" s="25" t="s">
        <v>90</v>
      </c>
      <c r="I10" s="26"/>
      <c r="J10" s="27"/>
      <c r="K10" s="27" t="s">
        <v>99</v>
      </c>
      <c r="L10" s="27"/>
      <c r="M10" s="27"/>
      <c r="N10" s="27"/>
      <c r="O10" s="28"/>
    </row>
    <row r="11" spans="1:15" ht="15.75" thickBot="1" x14ac:dyDescent="0.3">
      <c r="A11" s="2" t="s">
        <v>88</v>
      </c>
      <c r="B11" s="2">
        <v>2023</v>
      </c>
      <c r="C11" s="2" t="s">
        <v>84</v>
      </c>
      <c r="D11" s="2">
        <v>11000</v>
      </c>
      <c r="E11" s="2">
        <v>11700</v>
      </c>
      <c r="F11" s="6"/>
    </row>
    <row r="12" spans="1:15" x14ac:dyDescent="0.25">
      <c r="A12" s="2" t="s">
        <v>88</v>
      </c>
      <c r="B12" s="2">
        <v>2023</v>
      </c>
      <c r="C12" s="2" t="s">
        <v>85</v>
      </c>
      <c r="D12" s="2">
        <v>17000</v>
      </c>
      <c r="E12" s="2">
        <v>16400</v>
      </c>
      <c r="F12" s="6"/>
      <c r="H12" s="16" t="s">
        <v>76</v>
      </c>
      <c r="I12" s="29" t="s">
        <v>88</v>
      </c>
      <c r="J12" s="18"/>
      <c r="K12" s="18"/>
      <c r="L12" s="18"/>
      <c r="M12" s="18"/>
      <c r="N12" s="18"/>
      <c r="O12" s="19"/>
    </row>
    <row r="13" spans="1:15" x14ac:dyDescent="0.25">
      <c r="A13" s="2" t="s">
        <v>88</v>
      </c>
      <c r="B13" s="2">
        <v>2023</v>
      </c>
      <c r="C13" s="2" t="s">
        <v>87</v>
      </c>
      <c r="D13" s="2">
        <v>19000</v>
      </c>
      <c r="E13" s="2">
        <v>19800</v>
      </c>
      <c r="F13" s="6"/>
      <c r="H13" s="20" t="s">
        <v>77</v>
      </c>
      <c r="I13" s="2">
        <v>2024</v>
      </c>
      <c r="O13" s="21"/>
    </row>
    <row r="14" spans="1:15" x14ac:dyDescent="0.25">
      <c r="A14" s="2" t="s">
        <v>88</v>
      </c>
      <c r="B14" s="2">
        <v>2024</v>
      </c>
      <c r="C14" s="2" t="s">
        <v>83</v>
      </c>
      <c r="D14" s="2">
        <v>13500</v>
      </c>
      <c r="E14" s="2">
        <v>12900</v>
      </c>
      <c r="F14" s="6"/>
      <c r="H14" s="22"/>
      <c r="O14" s="21"/>
    </row>
    <row r="15" spans="1:15" x14ac:dyDescent="0.25">
      <c r="A15" s="2" t="s">
        <v>88</v>
      </c>
      <c r="B15" s="2">
        <v>2024</v>
      </c>
      <c r="C15" s="2" t="s">
        <v>84</v>
      </c>
      <c r="D15" s="2">
        <v>11500</v>
      </c>
      <c r="E15" s="2">
        <v>12100</v>
      </c>
      <c r="F15" s="6"/>
      <c r="H15" s="23" t="s">
        <v>89</v>
      </c>
      <c r="I15" s="24"/>
      <c r="K15" t="s">
        <v>100</v>
      </c>
      <c r="O15" s="21"/>
    </row>
    <row r="16" spans="1:15" x14ac:dyDescent="0.25">
      <c r="A16" s="2" t="s">
        <v>88</v>
      </c>
      <c r="B16" s="2">
        <v>2024</v>
      </c>
      <c r="C16" s="2" t="s">
        <v>85</v>
      </c>
      <c r="D16" s="2">
        <v>17500</v>
      </c>
      <c r="E16" s="2">
        <v>17100</v>
      </c>
      <c r="F16" s="6"/>
      <c r="H16" s="23" t="s">
        <v>90</v>
      </c>
      <c r="I16" s="24"/>
      <c r="K16" t="s">
        <v>101</v>
      </c>
      <c r="O16" s="21"/>
    </row>
    <row r="17" spans="1:15" x14ac:dyDescent="0.25">
      <c r="A17" s="2" t="s">
        <v>88</v>
      </c>
      <c r="B17" s="2">
        <v>2024</v>
      </c>
      <c r="C17" s="2" t="s">
        <v>87</v>
      </c>
      <c r="D17" s="2">
        <v>19500</v>
      </c>
      <c r="E17" s="2">
        <v>19900</v>
      </c>
      <c r="F17" s="6"/>
      <c r="H17" s="23" t="s">
        <v>93</v>
      </c>
      <c r="I17" s="24"/>
      <c r="K17" t="s">
        <v>102</v>
      </c>
      <c r="O17" s="21"/>
    </row>
    <row r="18" spans="1:15" ht="15.75" thickBot="1" x14ac:dyDescent="0.3">
      <c r="A18" s="2" t="s">
        <v>92</v>
      </c>
      <c r="B18" s="2">
        <v>2023</v>
      </c>
      <c r="C18" s="2" t="s">
        <v>83</v>
      </c>
      <c r="D18" s="2">
        <v>14000</v>
      </c>
      <c r="E18" s="2">
        <v>13400</v>
      </c>
      <c r="F18" s="6"/>
      <c r="H18" s="25" t="s">
        <v>91</v>
      </c>
      <c r="I18" s="26"/>
      <c r="J18" s="27"/>
      <c r="K18" s="27" t="s">
        <v>103</v>
      </c>
      <c r="L18" s="27"/>
      <c r="M18" s="27"/>
      <c r="N18" s="27"/>
      <c r="O18" s="28"/>
    </row>
    <row r="19" spans="1:15" x14ac:dyDescent="0.25">
      <c r="A19" s="2" t="s">
        <v>92</v>
      </c>
      <c r="B19" s="2">
        <v>2023</v>
      </c>
      <c r="C19" s="2" t="s">
        <v>84</v>
      </c>
      <c r="D19" s="2">
        <v>11500</v>
      </c>
      <c r="E19" s="2">
        <v>12100</v>
      </c>
      <c r="F19" s="6"/>
    </row>
    <row r="20" spans="1:15" x14ac:dyDescent="0.25">
      <c r="A20" s="2" t="s">
        <v>92</v>
      </c>
      <c r="B20" s="2">
        <v>2023</v>
      </c>
      <c r="C20" s="2" t="s">
        <v>85</v>
      </c>
      <c r="D20" s="2">
        <v>17500</v>
      </c>
      <c r="E20" s="2">
        <v>17100</v>
      </c>
      <c r="F20" s="6"/>
    </row>
    <row r="21" spans="1:15" x14ac:dyDescent="0.25">
      <c r="A21" s="2" t="s">
        <v>92</v>
      </c>
      <c r="B21" s="2">
        <v>2023</v>
      </c>
      <c r="C21" s="2" t="s">
        <v>87</v>
      </c>
      <c r="D21" s="2">
        <v>19500</v>
      </c>
      <c r="E21" s="2">
        <v>20100</v>
      </c>
      <c r="F21" s="6"/>
    </row>
    <row r="22" spans="1:15" x14ac:dyDescent="0.25">
      <c r="A22" s="2" t="s">
        <v>92</v>
      </c>
      <c r="B22" s="2">
        <v>2024</v>
      </c>
      <c r="C22" s="2" t="s">
        <v>83</v>
      </c>
      <c r="D22" s="2">
        <v>14500</v>
      </c>
      <c r="E22" s="2">
        <v>13900</v>
      </c>
      <c r="F22" s="6"/>
    </row>
    <row r="23" spans="1:15" x14ac:dyDescent="0.25">
      <c r="A23" s="2" t="s">
        <v>92</v>
      </c>
      <c r="B23" s="2">
        <v>2024</v>
      </c>
      <c r="C23" s="2" t="s">
        <v>84</v>
      </c>
      <c r="D23" s="2">
        <v>12000</v>
      </c>
      <c r="E23" s="2">
        <v>12600</v>
      </c>
      <c r="F23" s="6"/>
    </row>
    <row r="24" spans="1:15" x14ac:dyDescent="0.25">
      <c r="A24" s="2" t="s">
        <v>92</v>
      </c>
      <c r="B24" s="2">
        <v>2024</v>
      </c>
      <c r="C24" s="2" t="s">
        <v>85</v>
      </c>
      <c r="D24" s="2">
        <v>18000</v>
      </c>
      <c r="E24" s="2">
        <v>17400</v>
      </c>
      <c r="F24" s="6"/>
    </row>
    <row r="25" spans="1:15" x14ac:dyDescent="0.25">
      <c r="A25" s="2" t="s">
        <v>92</v>
      </c>
      <c r="B25" s="2">
        <v>2024</v>
      </c>
      <c r="C25" s="2" t="s">
        <v>87</v>
      </c>
      <c r="D25" s="2">
        <v>20000</v>
      </c>
      <c r="E25" s="2">
        <v>20700</v>
      </c>
      <c r="F25" s="6"/>
    </row>
    <row r="26" spans="1:15" x14ac:dyDescent="0.25">
      <c r="A26" s="2" t="s">
        <v>95</v>
      </c>
      <c r="B26" s="2">
        <v>2023</v>
      </c>
      <c r="C26" s="2" t="s">
        <v>83</v>
      </c>
      <c r="D26" s="2">
        <v>12500</v>
      </c>
      <c r="E26" s="2">
        <v>11900</v>
      </c>
      <c r="F26" s="6"/>
    </row>
    <row r="27" spans="1:15" x14ac:dyDescent="0.25">
      <c r="A27" s="2" t="s">
        <v>95</v>
      </c>
      <c r="B27" s="2">
        <v>2023</v>
      </c>
      <c r="C27" s="2" t="s">
        <v>84</v>
      </c>
      <c r="D27" s="2">
        <v>10500</v>
      </c>
      <c r="E27" s="2">
        <v>11200</v>
      </c>
      <c r="F27" s="6"/>
    </row>
    <row r="28" spans="1:15" x14ac:dyDescent="0.25">
      <c r="A28" s="2" t="s">
        <v>95</v>
      </c>
      <c r="B28" s="2">
        <v>2023</v>
      </c>
      <c r="C28" s="2" t="s">
        <v>85</v>
      </c>
      <c r="D28" s="2">
        <v>16500</v>
      </c>
      <c r="E28" s="2">
        <v>15900</v>
      </c>
      <c r="F28" s="6"/>
    </row>
    <row r="29" spans="1:15" x14ac:dyDescent="0.25">
      <c r="A29" s="2" t="s">
        <v>95</v>
      </c>
      <c r="B29" s="2">
        <v>2023</v>
      </c>
      <c r="C29" s="2" t="s">
        <v>87</v>
      </c>
      <c r="D29" s="2">
        <v>18500</v>
      </c>
      <c r="E29" s="2">
        <v>19100</v>
      </c>
      <c r="F29" s="6"/>
    </row>
    <row r="30" spans="1:15" x14ac:dyDescent="0.25">
      <c r="A30" s="2" t="s">
        <v>95</v>
      </c>
      <c r="B30" s="2">
        <v>2024</v>
      </c>
      <c r="C30" s="2" t="s">
        <v>83</v>
      </c>
      <c r="D30" s="2">
        <v>13000</v>
      </c>
      <c r="E30" s="2">
        <v>12300</v>
      </c>
      <c r="F30" s="6"/>
    </row>
    <row r="31" spans="1:15" x14ac:dyDescent="0.25">
      <c r="A31" s="2" t="s">
        <v>95</v>
      </c>
      <c r="B31" s="2">
        <v>2024</v>
      </c>
      <c r="C31" s="2" t="s">
        <v>84</v>
      </c>
      <c r="D31" s="2">
        <v>11000</v>
      </c>
      <c r="E31" s="2">
        <v>11600</v>
      </c>
      <c r="F31" s="6"/>
    </row>
    <row r="32" spans="1:15" x14ac:dyDescent="0.25">
      <c r="A32" s="2" t="s">
        <v>95</v>
      </c>
      <c r="B32" s="2">
        <v>2024</v>
      </c>
      <c r="C32" s="2" t="s">
        <v>85</v>
      </c>
      <c r="D32" s="2">
        <v>17000</v>
      </c>
      <c r="E32" s="2">
        <v>16400</v>
      </c>
      <c r="F32" s="6"/>
    </row>
    <row r="33" spans="1:6" x14ac:dyDescent="0.25">
      <c r="A33" s="2" t="s">
        <v>95</v>
      </c>
      <c r="B33" s="2">
        <v>2024</v>
      </c>
      <c r="C33" s="2" t="s">
        <v>87</v>
      </c>
      <c r="D33" s="2">
        <v>19000</v>
      </c>
      <c r="E33" s="2">
        <v>19600</v>
      </c>
      <c r="F33" s="6"/>
    </row>
    <row r="34" spans="1:6" x14ac:dyDescent="0.25">
      <c r="A34" s="2" t="s">
        <v>96</v>
      </c>
      <c r="B34" s="2">
        <v>2023</v>
      </c>
      <c r="C34" s="2" t="s">
        <v>83</v>
      </c>
      <c r="D34" s="2">
        <v>13500</v>
      </c>
      <c r="E34" s="2">
        <v>12900</v>
      </c>
      <c r="F34" s="6"/>
    </row>
    <row r="35" spans="1:6" x14ac:dyDescent="0.25">
      <c r="A35" s="2" t="s">
        <v>96</v>
      </c>
      <c r="B35" s="2">
        <v>2023</v>
      </c>
      <c r="C35" s="2" t="s">
        <v>84</v>
      </c>
      <c r="D35" s="2">
        <v>11200</v>
      </c>
      <c r="E35" s="2">
        <v>11900</v>
      </c>
      <c r="F35" s="6"/>
    </row>
    <row r="36" spans="1:6" x14ac:dyDescent="0.25">
      <c r="A36" s="2" t="s">
        <v>96</v>
      </c>
      <c r="B36" s="2">
        <v>2023</v>
      </c>
      <c r="C36" s="2" t="s">
        <v>85</v>
      </c>
      <c r="D36" s="2">
        <v>17200</v>
      </c>
      <c r="E36" s="2">
        <v>16800</v>
      </c>
      <c r="F36" s="6"/>
    </row>
    <row r="37" spans="1:6" x14ac:dyDescent="0.25">
      <c r="A37" s="2" t="s">
        <v>96</v>
      </c>
      <c r="B37" s="2">
        <v>2023</v>
      </c>
      <c r="C37" s="2" t="s">
        <v>87</v>
      </c>
      <c r="D37" s="2">
        <v>19200</v>
      </c>
      <c r="E37" s="2">
        <v>19900</v>
      </c>
      <c r="F37" s="6"/>
    </row>
    <row r="38" spans="1:6" x14ac:dyDescent="0.25">
      <c r="A38" s="2" t="s">
        <v>96</v>
      </c>
      <c r="B38" s="2">
        <v>2024</v>
      </c>
      <c r="C38" s="2" t="s">
        <v>83</v>
      </c>
      <c r="D38" s="2">
        <v>14000</v>
      </c>
      <c r="E38" s="2">
        <v>13400</v>
      </c>
      <c r="F38" s="6"/>
    </row>
    <row r="39" spans="1:6" x14ac:dyDescent="0.25">
      <c r="A39" s="2" t="s">
        <v>96</v>
      </c>
      <c r="B39" s="2">
        <v>2024</v>
      </c>
      <c r="C39" s="2" t="s">
        <v>84</v>
      </c>
      <c r="D39" s="2">
        <v>11700</v>
      </c>
      <c r="E39" s="2">
        <v>12300</v>
      </c>
      <c r="F39" s="6"/>
    </row>
    <row r="40" spans="1:6" x14ac:dyDescent="0.25">
      <c r="A40" s="2" t="s">
        <v>96</v>
      </c>
      <c r="B40" s="2">
        <v>2024</v>
      </c>
      <c r="C40" s="2" t="s">
        <v>85</v>
      </c>
      <c r="D40" s="2">
        <v>17700</v>
      </c>
      <c r="E40" s="2">
        <v>17300</v>
      </c>
      <c r="F40" s="6"/>
    </row>
    <row r="41" spans="1:6" x14ac:dyDescent="0.25">
      <c r="A41" s="2" t="s">
        <v>96</v>
      </c>
      <c r="B41" s="2">
        <v>2024</v>
      </c>
      <c r="C41" s="2" t="s">
        <v>87</v>
      </c>
      <c r="D41" s="2">
        <v>19700</v>
      </c>
      <c r="E41" s="2">
        <v>20300</v>
      </c>
      <c r="F41" s="6"/>
    </row>
  </sheetData>
  <dataValidations count="3">
    <dataValidation type="list" allowBlank="1" showInputMessage="1" showErrorMessage="1" sqref="I5 I12" xr:uid="{2FBA635B-8F04-49B3-BB80-5543725E2055}">
      <formula1>"California,Texas,New York,Florida,Illinois"</formula1>
    </dataValidation>
    <dataValidation type="list" allowBlank="1" showInputMessage="1" showErrorMessage="1" sqref="I6 I13" xr:uid="{4AEC23A1-334C-4606-83BC-4B7EFF461DEF}">
      <formula1>"2023,2024"</formula1>
    </dataValidation>
    <dataValidation type="list" allowBlank="1" showInputMessage="1" showErrorMessage="1" sqref="I7" xr:uid="{D1CEF4D7-D086-459B-AB81-BBB64B9352A0}">
      <formula1>"Tea Coffee,Herbal Coffee,Espresso Coffee,Regular Coffee"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5490-BE61-4B3B-9606-6C1751793DDE}">
  <dimension ref="A1:L30"/>
  <sheetViews>
    <sheetView zoomScale="115" zoomScaleNormal="115" workbookViewId="0">
      <selection activeCell="C4" sqref="C4"/>
    </sheetView>
  </sheetViews>
  <sheetFormatPr defaultRowHeight="15" x14ac:dyDescent="0.25"/>
  <cols>
    <col min="1" max="1" width="17.7109375" bestFit="1" customWidth="1"/>
    <col min="2" max="2" width="24.7109375" style="40" customWidth="1"/>
    <col min="3" max="3" width="19.7109375" customWidth="1"/>
    <col min="4" max="4" width="23" customWidth="1"/>
    <col min="5" max="7" width="9.140625" style="30"/>
    <col min="8" max="8" width="10.85546875" style="31" bestFit="1" customWidth="1"/>
  </cols>
  <sheetData>
    <row r="1" spans="1:12" ht="21.6" customHeight="1" x14ac:dyDescent="0.25">
      <c r="A1" s="99" t="s">
        <v>104</v>
      </c>
      <c r="B1" s="99"/>
    </row>
    <row r="2" spans="1:12" ht="15.75" x14ac:dyDescent="0.25">
      <c r="A2" s="32" t="s">
        <v>105</v>
      </c>
      <c r="B2" s="32" t="s">
        <v>106</v>
      </c>
      <c r="C2" s="100" t="s">
        <v>107</v>
      </c>
      <c r="D2" s="101"/>
      <c r="J2" s="14"/>
      <c r="K2" s="14"/>
      <c r="L2" s="14"/>
    </row>
    <row r="3" spans="1:12" x14ac:dyDescent="0.25">
      <c r="A3" s="33" t="s">
        <v>104</v>
      </c>
      <c r="B3" s="34">
        <v>75000</v>
      </c>
      <c r="C3" t="s">
        <v>153</v>
      </c>
      <c r="D3" s="35"/>
      <c r="E3" s="35"/>
      <c r="F3" s="35"/>
      <c r="G3" s="35"/>
      <c r="H3" s="35"/>
      <c r="I3" s="35"/>
    </row>
    <row r="4" spans="1:12" x14ac:dyDescent="0.25">
      <c r="A4" t="s">
        <v>108</v>
      </c>
      <c r="B4" s="36">
        <v>6</v>
      </c>
      <c r="C4" t="s">
        <v>152</v>
      </c>
      <c r="D4" s="14"/>
      <c r="E4" s="14"/>
      <c r="F4" s="14"/>
      <c r="G4" s="14"/>
      <c r="H4" s="14"/>
      <c r="I4" s="14"/>
    </row>
    <row r="5" spans="1:12" x14ac:dyDescent="0.25">
      <c r="A5" s="33" t="s">
        <v>109</v>
      </c>
      <c r="B5" s="37">
        <v>7.0000000000000007E-2</v>
      </c>
      <c r="C5" s="38"/>
      <c r="D5" s="39"/>
    </row>
    <row r="6" spans="1:12" x14ac:dyDescent="0.25">
      <c r="A6" s="33" t="s">
        <v>110</v>
      </c>
      <c r="B6" s="34">
        <v>50000</v>
      </c>
      <c r="C6" s="35"/>
      <c r="D6" s="39"/>
    </row>
    <row r="7" spans="1:12" x14ac:dyDescent="0.25">
      <c r="B7"/>
    </row>
    <row r="8" spans="1:12" ht="15.75" x14ac:dyDescent="0.25">
      <c r="A8" s="103" t="s">
        <v>111</v>
      </c>
      <c r="B8" s="104"/>
      <c r="C8" s="104"/>
      <c r="D8" s="104"/>
      <c r="E8" s="104"/>
      <c r="F8" s="104"/>
      <c r="G8" s="104"/>
    </row>
    <row r="10" spans="1:12" x14ac:dyDescent="0.25">
      <c r="A10" s="1" t="s">
        <v>41</v>
      </c>
      <c r="B10" s="1" t="s">
        <v>112</v>
      </c>
      <c r="C10" s="1" t="s">
        <v>113</v>
      </c>
      <c r="D10" s="9" t="s">
        <v>114</v>
      </c>
      <c r="E10" s="102" t="s">
        <v>115</v>
      </c>
      <c r="F10" s="102"/>
      <c r="G10" s="102"/>
    </row>
    <row r="11" spans="1:12" x14ac:dyDescent="0.25">
      <c r="A11" s="2" t="s">
        <v>116</v>
      </c>
      <c r="B11" s="2">
        <v>85000</v>
      </c>
      <c r="C11" s="2">
        <v>7</v>
      </c>
      <c r="D11" s="44"/>
      <c r="E11" s="98"/>
      <c r="F11" s="98"/>
      <c r="G11" s="98"/>
    </row>
    <row r="12" spans="1:12" x14ac:dyDescent="0.25">
      <c r="A12" s="2" t="s">
        <v>117</v>
      </c>
      <c r="B12" s="2">
        <v>72000</v>
      </c>
      <c r="C12" s="2">
        <v>6</v>
      </c>
      <c r="D12" s="44"/>
      <c r="E12" s="98"/>
      <c r="F12" s="98"/>
      <c r="G12" s="98"/>
    </row>
    <row r="13" spans="1:12" x14ac:dyDescent="0.25">
      <c r="A13" s="2" t="s">
        <v>118</v>
      </c>
      <c r="B13" s="2">
        <v>68000</v>
      </c>
      <c r="C13" s="2">
        <v>3</v>
      </c>
      <c r="D13" s="44"/>
      <c r="E13" s="98"/>
      <c r="F13" s="98"/>
      <c r="G13" s="98"/>
    </row>
    <row r="14" spans="1:12" x14ac:dyDescent="0.25">
      <c r="A14" s="2" t="s">
        <v>119</v>
      </c>
      <c r="B14" s="2">
        <v>60000</v>
      </c>
      <c r="C14" s="2">
        <v>4</v>
      </c>
      <c r="D14" s="44"/>
      <c r="E14" s="98"/>
      <c r="F14" s="98"/>
      <c r="G14" s="98"/>
    </row>
    <row r="15" spans="1:12" x14ac:dyDescent="0.25">
      <c r="A15" s="2" t="s">
        <v>120</v>
      </c>
      <c r="B15" s="2">
        <v>92000</v>
      </c>
      <c r="C15" s="2">
        <v>8</v>
      </c>
      <c r="D15" s="44"/>
      <c r="E15" s="98"/>
      <c r="F15" s="98"/>
      <c r="G15" s="98"/>
    </row>
    <row r="16" spans="1:12" x14ac:dyDescent="0.25">
      <c r="A16" s="2" t="s">
        <v>121</v>
      </c>
      <c r="B16" s="2">
        <v>78000</v>
      </c>
      <c r="C16" s="2">
        <v>6</v>
      </c>
      <c r="D16" s="44"/>
      <c r="E16" s="98"/>
      <c r="F16" s="98"/>
      <c r="G16" s="98"/>
    </row>
    <row r="17" spans="1:7" x14ac:dyDescent="0.25">
      <c r="A17" s="2" t="s">
        <v>122</v>
      </c>
      <c r="B17" s="2">
        <v>55000</v>
      </c>
      <c r="C17" s="2">
        <v>3</v>
      </c>
      <c r="D17" s="44"/>
      <c r="E17" s="98"/>
      <c r="F17" s="98"/>
      <c r="G17" s="98"/>
    </row>
    <row r="18" spans="1:7" x14ac:dyDescent="0.25">
      <c r="A18" s="2" t="s">
        <v>123</v>
      </c>
      <c r="B18" s="2">
        <v>96000</v>
      </c>
      <c r="C18" s="2">
        <v>9</v>
      </c>
      <c r="D18" s="44"/>
      <c r="E18" s="98"/>
      <c r="F18" s="98"/>
      <c r="G18" s="98"/>
    </row>
    <row r="19" spans="1:7" x14ac:dyDescent="0.25">
      <c r="A19" s="2" t="s">
        <v>124</v>
      </c>
      <c r="B19" s="2">
        <v>72000</v>
      </c>
      <c r="C19" s="2">
        <v>6</v>
      </c>
      <c r="D19" s="44"/>
      <c r="E19" s="98"/>
      <c r="F19" s="98"/>
      <c r="G19" s="98"/>
    </row>
    <row r="20" spans="1:7" x14ac:dyDescent="0.25">
      <c r="A20" s="2" t="s">
        <v>125</v>
      </c>
      <c r="B20" s="2">
        <v>69000</v>
      </c>
      <c r="C20" s="2">
        <v>5</v>
      </c>
      <c r="D20" s="44"/>
      <c r="E20" s="98"/>
      <c r="F20" s="98"/>
      <c r="G20" s="98"/>
    </row>
    <row r="21" spans="1:7" x14ac:dyDescent="0.25">
      <c r="A21" s="2" t="s">
        <v>126</v>
      </c>
      <c r="B21" s="2">
        <v>88000</v>
      </c>
      <c r="C21" s="2">
        <v>7</v>
      </c>
      <c r="D21" s="44"/>
      <c r="E21" s="98"/>
      <c r="F21" s="98"/>
      <c r="G21" s="98"/>
    </row>
    <row r="22" spans="1:7" x14ac:dyDescent="0.25">
      <c r="A22" s="2" t="s">
        <v>127</v>
      </c>
      <c r="B22" s="2">
        <v>63000</v>
      </c>
      <c r="C22" s="2">
        <v>5</v>
      </c>
      <c r="D22" s="44"/>
      <c r="E22" s="98"/>
      <c r="F22" s="98"/>
      <c r="G22" s="98"/>
    </row>
    <row r="23" spans="1:7" x14ac:dyDescent="0.25">
      <c r="A23" s="2" t="s">
        <v>128</v>
      </c>
      <c r="B23" s="2">
        <v>84000</v>
      </c>
      <c r="C23" s="2">
        <v>7</v>
      </c>
      <c r="D23" s="44"/>
      <c r="E23" s="98"/>
      <c r="F23" s="98"/>
      <c r="G23" s="98"/>
    </row>
    <row r="24" spans="1:7" x14ac:dyDescent="0.25">
      <c r="A24" s="2" t="s">
        <v>129</v>
      </c>
      <c r="B24" s="2">
        <v>71000</v>
      </c>
      <c r="C24" s="2">
        <v>6</v>
      </c>
      <c r="D24" s="44"/>
      <c r="E24" s="98"/>
      <c r="F24" s="98"/>
      <c r="G24" s="98"/>
    </row>
    <row r="25" spans="1:7" x14ac:dyDescent="0.25">
      <c r="A25" s="2" t="s">
        <v>130</v>
      </c>
      <c r="B25" s="2">
        <v>59000</v>
      </c>
      <c r="C25" s="2">
        <v>4</v>
      </c>
      <c r="D25" s="44"/>
      <c r="E25" s="98"/>
      <c r="F25" s="98"/>
      <c r="G25" s="98"/>
    </row>
    <row r="26" spans="1:7" x14ac:dyDescent="0.25">
      <c r="A26" s="2" t="s">
        <v>131</v>
      </c>
      <c r="B26" s="2">
        <v>94000</v>
      </c>
      <c r="C26" s="2">
        <v>8</v>
      </c>
      <c r="D26" s="44"/>
      <c r="E26" s="98"/>
      <c r="F26" s="98"/>
      <c r="G26" s="98"/>
    </row>
    <row r="27" spans="1:7" x14ac:dyDescent="0.25">
      <c r="A27" s="2" t="s">
        <v>132</v>
      </c>
      <c r="B27" s="2">
        <v>79000</v>
      </c>
      <c r="C27" s="2">
        <v>6</v>
      </c>
      <c r="D27" s="44"/>
      <c r="E27" s="98"/>
      <c r="F27" s="98"/>
      <c r="G27" s="98"/>
    </row>
    <row r="28" spans="1:7" x14ac:dyDescent="0.25">
      <c r="A28" s="2" t="s">
        <v>133</v>
      </c>
      <c r="B28" s="2">
        <v>58000</v>
      </c>
      <c r="C28" s="2">
        <v>4</v>
      </c>
      <c r="D28" s="44"/>
      <c r="E28" s="98"/>
      <c r="F28" s="98"/>
      <c r="G28" s="98"/>
    </row>
    <row r="29" spans="1:7" x14ac:dyDescent="0.25">
      <c r="A29" s="2" t="s">
        <v>134</v>
      </c>
      <c r="B29" s="2">
        <v>90000</v>
      </c>
      <c r="C29" s="2">
        <v>8</v>
      </c>
      <c r="D29" s="44"/>
      <c r="E29" s="98"/>
      <c r="F29" s="98"/>
      <c r="G29" s="98"/>
    </row>
    <row r="30" spans="1:7" x14ac:dyDescent="0.25">
      <c r="A30" s="2" t="s">
        <v>135</v>
      </c>
      <c r="B30" s="2">
        <v>75000</v>
      </c>
      <c r="C30" s="2">
        <v>6</v>
      </c>
      <c r="D30" s="44"/>
      <c r="E30" s="98"/>
      <c r="F30" s="98"/>
      <c r="G30" s="98"/>
    </row>
  </sheetData>
  <mergeCells count="24">
    <mergeCell ref="E18:G18"/>
    <mergeCell ref="A1:B1"/>
    <mergeCell ref="C2:D2"/>
    <mergeCell ref="E10:G10"/>
    <mergeCell ref="E11:G11"/>
    <mergeCell ref="E12:G12"/>
    <mergeCell ref="A8:G8"/>
    <mergeCell ref="E13:G13"/>
    <mergeCell ref="E14:G14"/>
    <mergeCell ref="E15:G15"/>
    <mergeCell ref="E16:G16"/>
    <mergeCell ref="E17:G17"/>
    <mergeCell ref="E30:G30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CD65-2A6E-416A-92DF-819D358E66B0}">
  <dimension ref="A1:J25"/>
  <sheetViews>
    <sheetView zoomScale="115" zoomScaleNormal="115" workbookViewId="0"/>
  </sheetViews>
  <sheetFormatPr defaultRowHeight="15" x14ac:dyDescent="0.25"/>
  <cols>
    <col min="1" max="1" width="24.28515625" bestFit="1" customWidth="1"/>
    <col min="2" max="2" width="14" customWidth="1"/>
    <col min="3" max="4" width="14" style="46" customWidth="1"/>
    <col min="5" max="5" width="20.28515625" style="46" bestFit="1" customWidth="1"/>
    <col min="6" max="6" width="18.85546875" style="46" bestFit="1" customWidth="1"/>
    <col min="7" max="7" width="14" style="46" customWidth="1"/>
    <col min="8" max="8" width="9.140625" style="46"/>
    <col min="9" max="9" width="15" bestFit="1" customWidth="1"/>
    <col min="10" max="10" width="9.140625" style="45"/>
  </cols>
  <sheetData>
    <row r="1" spans="1:7" x14ac:dyDescent="0.25">
      <c r="A1" t="s">
        <v>161</v>
      </c>
    </row>
    <row r="2" spans="1:7" x14ac:dyDescent="0.25">
      <c r="A2" s="3" t="s">
        <v>162</v>
      </c>
      <c r="B2" s="51">
        <v>50</v>
      </c>
    </row>
    <row r="3" spans="1:7" x14ac:dyDescent="0.25">
      <c r="A3" s="3" t="s">
        <v>163</v>
      </c>
      <c r="B3" s="51">
        <v>100</v>
      </c>
    </row>
    <row r="5" spans="1:7" x14ac:dyDescent="0.25">
      <c r="A5" s="2" t="s">
        <v>164</v>
      </c>
      <c r="B5" s="48">
        <v>3500</v>
      </c>
    </row>
    <row r="8" spans="1:7" x14ac:dyDescent="0.25">
      <c r="A8" s="54" t="s">
        <v>160</v>
      </c>
      <c r="B8" s="54" t="s">
        <v>159</v>
      </c>
      <c r="C8" s="52" t="s">
        <v>158</v>
      </c>
      <c r="D8" s="53" t="s">
        <v>157</v>
      </c>
      <c r="E8" s="53" t="s">
        <v>156</v>
      </c>
      <c r="F8" s="52" t="s">
        <v>155</v>
      </c>
      <c r="G8" s="52" t="s">
        <v>154</v>
      </c>
    </row>
    <row r="9" spans="1:7" x14ac:dyDescent="0.25">
      <c r="A9" s="2">
        <v>10001</v>
      </c>
      <c r="B9" s="2">
        <v>15</v>
      </c>
      <c r="C9" s="47">
        <v>120</v>
      </c>
      <c r="D9" s="57"/>
      <c r="E9" s="57"/>
      <c r="F9" s="57"/>
      <c r="G9" s="57"/>
    </row>
    <row r="10" spans="1:7" x14ac:dyDescent="0.25">
      <c r="A10" s="2">
        <v>10002</v>
      </c>
      <c r="B10" s="2">
        <v>124</v>
      </c>
      <c r="C10" s="47">
        <v>35</v>
      </c>
      <c r="D10" s="57"/>
      <c r="E10" s="57"/>
      <c r="F10" s="57"/>
      <c r="G10" s="57"/>
    </row>
    <row r="11" spans="1:7" x14ac:dyDescent="0.25">
      <c r="A11" s="2">
        <v>10003</v>
      </c>
      <c r="B11" s="2">
        <v>365</v>
      </c>
      <c r="C11" s="47">
        <v>10</v>
      </c>
      <c r="D11" s="57"/>
      <c r="E11" s="57"/>
      <c r="F11" s="57"/>
      <c r="G11" s="57"/>
    </row>
    <row r="12" spans="1:7" x14ac:dyDescent="0.25">
      <c r="A12" s="2">
        <v>10004</v>
      </c>
      <c r="B12" s="2">
        <v>45</v>
      </c>
      <c r="C12" s="47">
        <v>35</v>
      </c>
      <c r="D12" s="57"/>
      <c r="E12" s="57"/>
      <c r="F12" s="57"/>
      <c r="G12" s="57"/>
    </row>
    <row r="13" spans="1:7" x14ac:dyDescent="0.25">
      <c r="A13" s="2">
        <v>10005</v>
      </c>
      <c r="B13" s="2">
        <v>54</v>
      </c>
      <c r="C13" s="47">
        <v>150</v>
      </c>
      <c r="D13" s="57"/>
      <c r="E13" s="57"/>
      <c r="F13" s="57"/>
      <c r="G13" s="57"/>
    </row>
    <row r="14" spans="1:7" x14ac:dyDescent="0.25">
      <c r="A14" s="2">
        <v>10006</v>
      </c>
      <c r="B14" s="2">
        <v>24</v>
      </c>
      <c r="C14" s="47">
        <v>68</v>
      </c>
      <c r="D14" s="57"/>
      <c r="E14" s="57"/>
      <c r="F14" s="57"/>
      <c r="G14" s="57"/>
    </row>
    <row r="15" spans="1:7" x14ac:dyDescent="0.25">
      <c r="A15" s="2">
        <v>10007</v>
      </c>
      <c r="B15" s="2">
        <v>15</v>
      </c>
      <c r="C15" s="47">
        <v>400</v>
      </c>
      <c r="D15" s="57"/>
      <c r="E15" s="57"/>
      <c r="F15" s="57"/>
      <c r="G15" s="57"/>
    </row>
    <row r="16" spans="1:7" x14ac:dyDescent="0.25">
      <c r="A16" s="2">
        <v>10008</v>
      </c>
      <c r="B16" s="2">
        <v>68</v>
      </c>
      <c r="C16" s="47">
        <v>65</v>
      </c>
      <c r="D16" s="57"/>
      <c r="E16" s="57"/>
      <c r="F16" s="57"/>
      <c r="G16" s="57"/>
    </row>
    <row r="19" spans="1:10" s="49" customFormat="1" x14ac:dyDescent="0.25">
      <c r="A19" s="50" t="s">
        <v>165</v>
      </c>
      <c r="B19" s="55"/>
      <c r="J19" s="45"/>
    </row>
    <row r="20" spans="1:10" x14ac:dyDescent="0.25">
      <c r="A20" s="3" t="s">
        <v>166</v>
      </c>
      <c r="B20" s="56"/>
      <c r="C20"/>
      <c r="D20"/>
      <c r="E20"/>
      <c r="F20"/>
    </row>
    <row r="21" spans="1:10" x14ac:dyDescent="0.25">
      <c r="A21" s="3" t="s">
        <v>167</v>
      </c>
      <c r="B21" s="56"/>
      <c r="C21"/>
      <c r="D21"/>
      <c r="E21"/>
      <c r="F21"/>
    </row>
    <row r="22" spans="1:10" x14ac:dyDescent="0.25">
      <c r="A22" s="3" t="s">
        <v>168</v>
      </c>
      <c r="B22" s="56"/>
      <c r="C22"/>
      <c r="D22"/>
      <c r="E22"/>
    </row>
    <row r="24" spans="1:10" x14ac:dyDescent="0.25">
      <c r="A24" s="3" t="s">
        <v>169</v>
      </c>
      <c r="B24" s="48"/>
    </row>
    <row r="25" spans="1:10" x14ac:dyDescent="0.25">
      <c r="A25" s="3" t="s">
        <v>170</v>
      </c>
      <c r="B25" s="48"/>
    </row>
  </sheetData>
  <conditionalFormatting sqref="B2:B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9365-6F3B-44DF-9BAD-4E55730738D8}">
  <dimension ref="A1:S1000"/>
  <sheetViews>
    <sheetView topLeftCell="B1" workbookViewId="0">
      <selection activeCell="B54" sqref="B54:B64"/>
    </sheetView>
  </sheetViews>
  <sheetFormatPr defaultColWidth="14.42578125" defaultRowHeight="15" x14ac:dyDescent="0.25"/>
  <cols>
    <col min="1" max="4" width="26.7109375" customWidth="1"/>
    <col min="5" max="5" width="10.85546875" customWidth="1"/>
    <col min="6" max="6" width="3.42578125" customWidth="1"/>
    <col min="7" max="7" width="22.28515625" bestFit="1" customWidth="1"/>
    <col min="8" max="8" width="24.42578125" bestFit="1" customWidth="1"/>
    <col min="9" max="9" width="23.28515625" customWidth="1"/>
    <col min="10" max="10" width="24.85546875" customWidth="1"/>
    <col min="11" max="19" width="10.7109375" customWidth="1"/>
  </cols>
  <sheetData>
    <row r="1" spans="1:19" ht="21" customHeight="1" x14ac:dyDescent="0.35">
      <c r="A1" s="59" t="s">
        <v>172</v>
      </c>
      <c r="B1" s="59" t="s">
        <v>173</v>
      </c>
      <c r="C1" s="59" t="s">
        <v>171</v>
      </c>
      <c r="D1" s="59" t="s">
        <v>174</v>
      </c>
      <c r="E1" s="58"/>
      <c r="F1" s="58"/>
      <c r="G1" s="105" t="s">
        <v>316</v>
      </c>
      <c r="H1" s="105"/>
      <c r="I1" s="105"/>
      <c r="J1" s="105"/>
      <c r="K1" s="58"/>
      <c r="L1" s="58"/>
      <c r="M1" s="58"/>
      <c r="N1" s="58"/>
      <c r="O1" s="58"/>
      <c r="P1" s="58"/>
      <c r="Q1" s="58"/>
      <c r="R1" s="58"/>
      <c r="S1" s="58"/>
    </row>
    <row r="2" spans="1:19" ht="21" customHeight="1" x14ac:dyDescent="0.35">
      <c r="A2" s="61" t="s">
        <v>175</v>
      </c>
      <c r="B2" s="61" t="s">
        <v>176</v>
      </c>
      <c r="C2" s="61">
        <v>9</v>
      </c>
      <c r="D2" s="61">
        <v>33</v>
      </c>
      <c r="E2" s="58"/>
      <c r="F2" s="58"/>
      <c r="G2" s="60" t="s">
        <v>172</v>
      </c>
      <c r="H2" s="60" t="s">
        <v>173</v>
      </c>
      <c r="I2" s="60" t="s">
        <v>171</v>
      </c>
      <c r="J2" s="60" t="s">
        <v>174</v>
      </c>
      <c r="K2" s="58"/>
      <c r="L2" s="58"/>
      <c r="M2" s="58"/>
      <c r="N2" s="58"/>
      <c r="O2" s="58"/>
      <c r="P2" s="58"/>
      <c r="Q2" s="58"/>
      <c r="R2" s="58"/>
      <c r="S2" s="58"/>
    </row>
    <row r="3" spans="1:19" ht="21" customHeight="1" x14ac:dyDescent="0.4">
      <c r="A3" s="61" t="s">
        <v>177</v>
      </c>
      <c r="B3" s="61" t="s">
        <v>178</v>
      </c>
      <c r="C3" s="61">
        <v>4</v>
      </c>
      <c r="D3" s="61">
        <v>11</v>
      </c>
      <c r="E3" s="58"/>
      <c r="F3" s="58"/>
      <c r="G3" s="62" t="s">
        <v>175</v>
      </c>
      <c r="H3" s="69"/>
      <c r="I3" s="70"/>
      <c r="J3" s="71"/>
      <c r="K3" s="58"/>
      <c r="L3" s="58"/>
      <c r="M3" s="58"/>
      <c r="N3" s="58"/>
      <c r="O3" s="58"/>
      <c r="P3" s="58"/>
      <c r="Q3" s="58"/>
      <c r="R3" s="58"/>
      <c r="S3" s="58"/>
    </row>
    <row r="4" spans="1:19" ht="21" customHeight="1" x14ac:dyDescent="0.4">
      <c r="A4" s="65" t="s">
        <v>180</v>
      </c>
      <c r="B4" s="65" t="s">
        <v>181</v>
      </c>
      <c r="C4" s="65">
        <v>89</v>
      </c>
      <c r="D4" s="65">
        <v>281</v>
      </c>
      <c r="E4" s="58"/>
      <c r="F4" s="58"/>
      <c r="G4" s="62" t="s">
        <v>182</v>
      </c>
      <c r="H4" s="69"/>
      <c r="I4" s="70"/>
      <c r="J4" s="71"/>
      <c r="K4" s="58"/>
      <c r="L4" s="58"/>
      <c r="M4" s="58"/>
      <c r="N4" s="58"/>
      <c r="O4" s="58"/>
      <c r="P4" s="58"/>
      <c r="Q4" s="58"/>
      <c r="R4" s="58"/>
      <c r="S4" s="58"/>
    </row>
    <row r="5" spans="1:19" ht="21" customHeight="1" x14ac:dyDescent="0.4">
      <c r="A5" s="61" t="s">
        <v>179</v>
      </c>
      <c r="B5" s="61" t="s">
        <v>183</v>
      </c>
      <c r="C5" s="61">
        <v>182</v>
      </c>
      <c r="D5" s="61">
        <v>388</v>
      </c>
      <c r="E5" s="58"/>
      <c r="F5" s="58"/>
      <c r="G5" s="62" t="s">
        <v>184</v>
      </c>
      <c r="H5" s="69"/>
      <c r="I5" s="70"/>
      <c r="J5" s="71"/>
      <c r="K5" s="58"/>
      <c r="L5" s="58"/>
      <c r="M5" s="58"/>
      <c r="N5" s="58"/>
      <c r="O5" s="58"/>
      <c r="P5" s="58"/>
      <c r="Q5" s="58"/>
      <c r="R5" s="58"/>
      <c r="S5" s="58"/>
    </row>
    <row r="6" spans="1:19" ht="21" customHeight="1" x14ac:dyDescent="0.4">
      <c r="A6" s="65" t="s">
        <v>185</v>
      </c>
      <c r="B6" s="65" t="s">
        <v>186</v>
      </c>
      <c r="C6" s="65">
        <v>-19</v>
      </c>
      <c r="D6" s="65">
        <v>56</v>
      </c>
      <c r="E6" s="58"/>
      <c r="F6" s="58"/>
      <c r="G6" s="62" t="s">
        <v>187</v>
      </c>
      <c r="H6" s="69"/>
      <c r="I6" s="69"/>
      <c r="J6" s="71"/>
      <c r="K6" s="58"/>
      <c r="L6" s="58"/>
      <c r="M6" s="58"/>
      <c r="N6" s="58"/>
      <c r="O6" s="58"/>
      <c r="P6" s="58"/>
      <c r="Q6" s="58"/>
      <c r="R6" s="58"/>
      <c r="S6" s="58"/>
    </row>
    <row r="7" spans="1:19" ht="21" customHeight="1" x14ac:dyDescent="0.4">
      <c r="A7" s="61" t="s">
        <v>188</v>
      </c>
      <c r="B7" s="61" t="s">
        <v>189</v>
      </c>
      <c r="C7" s="61">
        <v>15</v>
      </c>
      <c r="D7" s="61">
        <v>42</v>
      </c>
      <c r="E7" s="58"/>
      <c r="F7" s="58"/>
      <c r="G7" s="62" t="s">
        <v>190</v>
      </c>
      <c r="H7" s="69"/>
      <c r="I7" s="69"/>
      <c r="J7" s="71"/>
      <c r="K7" s="58"/>
      <c r="L7" s="58"/>
      <c r="M7" s="58"/>
      <c r="N7" s="58"/>
      <c r="O7" s="58"/>
      <c r="P7" s="58"/>
      <c r="Q7" s="58"/>
      <c r="R7" s="58"/>
      <c r="S7" s="58"/>
    </row>
    <row r="8" spans="1:19" ht="21" customHeight="1" x14ac:dyDescent="0.4">
      <c r="A8" s="65" t="s">
        <v>191</v>
      </c>
      <c r="B8" s="65" t="s">
        <v>192</v>
      </c>
      <c r="C8" s="65">
        <v>88</v>
      </c>
      <c r="D8" s="65">
        <v>258</v>
      </c>
      <c r="E8" s="58"/>
      <c r="F8" s="58"/>
      <c r="G8" s="62" t="s">
        <v>193</v>
      </c>
      <c r="H8" s="69"/>
      <c r="I8" s="69"/>
      <c r="J8" s="71"/>
      <c r="K8" s="58"/>
      <c r="L8" s="58"/>
      <c r="M8" s="58"/>
      <c r="N8" s="58"/>
      <c r="O8" s="58"/>
      <c r="P8" s="58"/>
      <c r="Q8" s="58"/>
      <c r="R8" s="58"/>
      <c r="S8" s="58"/>
    </row>
    <row r="9" spans="1:19" ht="21" customHeight="1" x14ac:dyDescent="0.4">
      <c r="A9" s="61" t="s">
        <v>194</v>
      </c>
      <c r="B9" s="61" t="s">
        <v>195</v>
      </c>
      <c r="C9" s="61">
        <v>-25</v>
      </c>
      <c r="D9" s="61">
        <v>58</v>
      </c>
      <c r="E9" s="58"/>
      <c r="F9" s="58"/>
      <c r="G9" s="62" t="s">
        <v>196</v>
      </c>
      <c r="H9" s="69"/>
      <c r="I9" s="69"/>
      <c r="J9" s="71"/>
      <c r="K9" s="58"/>
      <c r="L9" s="58"/>
      <c r="M9" s="58"/>
      <c r="N9" s="58"/>
      <c r="O9" s="58"/>
      <c r="P9" s="58"/>
      <c r="Q9" s="58"/>
      <c r="R9" s="58"/>
      <c r="S9" s="58"/>
    </row>
    <row r="10" spans="1:19" ht="21" customHeight="1" x14ac:dyDescent="0.4">
      <c r="A10" s="65" t="s">
        <v>197</v>
      </c>
      <c r="B10" s="65" t="s">
        <v>198</v>
      </c>
      <c r="C10" s="65">
        <v>26</v>
      </c>
      <c r="D10" s="65">
        <v>174</v>
      </c>
      <c r="E10" s="58"/>
      <c r="F10" s="58"/>
      <c r="G10" s="63" t="s">
        <v>199</v>
      </c>
      <c r="H10" s="69"/>
      <c r="I10" s="69"/>
      <c r="J10" s="71"/>
      <c r="K10" s="58"/>
      <c r="L10" s="58"/>
      <c r="M10" s="58"/>
      <c r="N10" s="58"/>
      <c r="O10" s="58"/>
      <c r="P10" s="58"/>
      <c r="Q10" s="58"/>
      <c r="R10" s="58"/>
      <c r="S10" s="58"/>
    </row>
    <row r="11" spans="1:19" ht="21" customHeight="1" x14ac:dyDescent="0.4">
      <c r="A11" s="61" t="s">
        <v>200</v>
      </c>
      <c r="B11" s="61" t="s">
        <v>201</v>
      </c>
      <c r="C11" s="61">
        <v>4</v>
      </c>
      <c r="D11" s="61">
        <v>15</v>
      </c>
      <c r="E11" s="58"/>
      <c r="F11" s="58"/>
      <c r="G11" s="63" t="s">
        <v>202</v>
      </c>
      <c r="H11" s="69"/>
      <c r="I11" s="69"/>
      <c r="J11" s="71"/>
      <c r="K11" s="58"/>
      <c r="L11" s="58"/>
      <c r="M11" s="58"/>
      <c r="N11" s="58"/>
      <c r="O11" s="58"/>
      <c r="P11" s="58"/>
      <c r="Q11" s="58"/>
      <c r="R11" s="58"/>
      <c r="S11" s="58"/>
    </row>
    <row r="12" spans="1:19" ht="21" customHeight="1" x14ac:dyDescent="0.4">
      <c r="A12" s="65" t="s">
        <v>182</v>
      </c>
      <c r="B12" s="65" t="s">
        <v>203</v>
      </c>
      <c r="C12" s="65">
        <v>40</v>
      </c>
      <c r="D12" s="65">
        <v>94</v>
      </c>
      <c r="E12" s="58"/>
      <c r="F12" s="58"/>
      <c r="G12" s="63" t="s">
        <v>204</v>
      </c>
      <c r="H12" s="69"/>
      <c r="I12" s="69"/>
      <c r="J12" s="71"/>
      <c r="K12" s="58"/>
      <c r="L12" s="58"/>
      <c r="M12" s="58"/>
      <c r="N12" s="58"/>
      <c r="O12" s="58"/>
      <c r="P12" s="58"/>
      <c r="Q12" s="58"/>
      <c r="R12" s="58"/>
      <c r="S12" s="58"/>
    </row>
    <row r="13" spans="1:19" ht="21" customHeight="1" x14ac:dyDescent="0.4">
      <c r="A13" s="61" t="s">
        <v>199</v>
      </c>
      <c r="B13" s="61" t="s">
        <v>205</v>
      </c>
      <c r="C13" s="61">
        <v>255</v>
      </c>
      <c r="D13" s="61">
        <v>601</v>
      </c>
      <c r="E13" s="58"/>
      <c r="F13" s="58"/>
      <c r="G13" s="62" t="s">
        <v>193</v>
      </c>
      <c r="H13" s="69"/>
      <c r="I13" s="69"/>
      <c r="J13" s="71"/>
      <c r="K13" s="58"/>
      <c r="L13" s="58"/>
      <c r="M13" s="58"/>
      <c r="N13" s="58"/>
      <c r="O13" s="58"/>
      <c r="P13" s="58"/>
      <c r="Q13" s="58"/>
      <c r="R13" s="58"/>
      <c r="S13" s="58"/>
    </row>
    <row r="14" spans="1:19" ht="21" customHeight="1" x14ac:dyDescent="0.4">
      <c r="A14" s="65" t="s">
        <v>202</v>
      </c>
      <c r="B14" s="65" t="s">
        <v>206</v>
      </c>
      <c r="C14" s="65">
        <v>-14</v>
      </c>
      <c r="D14" s="65">
        <v>753</v>
      </c>
      <c r="E14" s="58"/>
      <c r="F14" s="58"/>
      <c r="G14" s="63" t="s">
        <v>200</v>
      </c>
      <c r="H14" s="69"/>
      <c r="I14" s="70"/>
      <c r="J14" s="71"/>
      <c r="K14" s="58"/>
      <c r="L14" s="58"/>
      <c r="M14" s="58"/>
      <c r="N14" s="58"/>
      <c r="O14" s="58"/>
      <c r="P14" s="58"/>
      <c r="Q14" s="58"/>
      <c r="R14" s="58"/>
      <c r="S14" s="58"/>
    </row>
    <row r="15" spans="1:19" ht="21" customHeight="1" x14ac:dyDescent="0.4">
      <c r="A15" s="61" t="s">
        <v>204</v>
      </c>
      <c r="B15" s="61" t="s">
        <v>207</v>
      </c>
      <c r="C15" s="61">
        <v>9</v>
      </c>
      <c r="D15" s="61">
        <v>19</v>
      </c>
      <c r="E15" s="58"/>
      <c r="F15" s="58"/>
      <c r="G15" s="63" t="s">
        <v>208</v>
      </c>
      <c r="H15" s="69"/>
      <c r="I15" s="70"/>
      <c r="J15" s="71"/>
      <c r="K15" s="58"/>
      <c r="L15" s="58"/>
      <c r="M15" s="58"/>
      <c r="N15" s="58"/>
      <c r="O15" s="58"/>
      <c r="P15" s="58"/>
      <c r="Q15" s="58"/>
      <c r="R15" s="58"/>
      <c r="S15" s="58"/>
    </row>
    <row r="16" spans="1:19" ht="21" customHeight="1" x14ac:dyDescent="0.4">
      <c r="A16" s="65" t="s">
        <v>209</v>
      </c>
      <c r="B16" s="65" t="s">
        <v>210</v>
      </c>
      <c r="C16" s="65">
        <v>195</v>
      </c>
      <c r="D16" s="66">
        <v>1243</v>
      </c>
      <c r="E16" s="58"/>
      <c r="F16" s="58"/>
      <c r="G16" s="63" t="s">
        <v>211</v>
      </c>
      <c r="H16" s="69"/>
      <c r="I16" s="70"/>
      <c r="J16" s="71"/>
      <c r="K16" s="58"/>
      <c r="L16" s="58"/>
      <c r="M16" s="58"/>
      <c r="N16" s="58"/>
      <c r="O16" s="58"/>
      <c r="P16" s="58"/>
      <c r="Q16" s="58"/>
      <c r="R16" s="58"/>
      <c r="S16" s="58"/>
    </row>
    <row r="17" spans="1:19" ht="21" customHeight="1" x14ac:dyDescent="0.35">
      <c r="A17" s="61" t="s">
        <v>212</v>
      </c>
      <c r="B17" s="61" t="s">
        <v>192</v>
      </c>
      <c r="C17" s="61">
        <v>30</v>
      </c>
      <c r="D17" s="61">
        <v>88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spans="1:19" ht="21" customHeight="1" x14ac:dyDescent="0.35">
      <c r="A18" s="65" t="s">
        <v>213</v>
      </c>
      <c r="B18" s="65" t="s">
        <v>214</v>
      </c>
      <c r="C18" s="65">
        <v>-1</v>
      </c>
      <c r="D18" s="65">
        <v>3</v>
      </c>
      <c r="E18" s="58"/>
      <c r="F18" s="58"/>
      <c r="G18" s="58"/>
      <c r="H18" s="58"/>
      <c r="I18" s="67"/>
      <c r="J18" s="58"/>
      <c r="K18" s="58"/>
      <c r="L18" s="58"/>
      <c r="M18" s="58"/>
      <c r="N18" s="58"/>
      <c r="O18" s="58"/>
      <c r="P18" s="58"/>
      <c r="Q18" s="58"/>
      <c r="R18" s="58"/>
      <c r="S18" s="58"/>
    </row>
    <row r="19" spans="1:19" ht="21" customHeight="1" x14ac:dyDescent="0.35">
      <c r="A19" s="61" t="s">
        <v>215</v>
      </c>
      <c r="B19" s="61" t="s">
        <v>216</v>
      </c>
      <c r="C19" s="61">
        <v>10</v>
      </c>
      <c r="D19" s="61">
        <v>20</v>
      </c>
      <c r="E19" s="58"/>
      <c r="F19" s="58"/>
      <c r="G19" s="105" t="s">
        <v>315</v>
      </c>
      <c r="H19" s="105"/>
      <c r="I19" s="105"/>
      <c r="J19" s="105"/>
      <c r="K19" s="58"/>
      <c r="L19" s="58"/>
      <c r="M19" s="58"/>
      <c r="N19" s="58"/>
      <c r="O19" s="58"/>
      <c r="P19" s="58"/>
      <c r="Q19" s="58"/>
      <c r="R19" s="58"/>
      <c r="S19" s="58"/>
    </row>
    <row r="20" spans="1:19" ht="21" customHeight="1" x14ac:dyDescent="0.35">
      <c r="A20" s="65" t="s">
        <v>217</v>
      </c>
      <c r="B20" s="65" t="s">
        <v>218</v>
      </c>
      <c r="C20" s="65">
        <v>432</v>
      </c>
      <c r="D20" s="66">
        <v>1843</v>
      </c>
      <c r="E20" s="58"/>
      <c r="F20" s="58"/>
      <c r="G20" s="60" t="s">
        <v>172</v>
      </c>
      <c r="H20" s="60" t="s">
        <v>173</v>
      </c>
      <c r="I20" s="60" t="s">
        <v>171</v>
      </c>
      <c r="J20" s="60" t="s">
        <v>174</v>
      </c>
      <c r="K20" s="58"/>
      <c r="L20" s="58"/>
      <c r="M20" s="58"/>
      <c r="N20" s="58"/>
      <c r="O20" s="58"/>
      <c r="P20" s="58"/>
      <c r="Q20" s="58"/>
      <c r="R20" s="58"/>
      <c r="S20" s="58"/>
    </row>
    <row r="21" spans="1:19" ht="21" customHeight="1" x14ac:dyDescent="0.4">
      <c r="A21" s="61" t="s">
        <v>184</v>
      </c>
      <c r="B21" s="61" t="s">
        <v>219</v>
      </c>
      <c r="C21" s="61">
        <v>297</v>
      </c>
      <c r="D21" s="61">
        <v>712</v>
      </c>
      <c r="E21" s="58"/>
      <c r="F21" s="58"/>
      <c r="G21" s="62" t="s">
        <v>175</v>
      </c>
      <c r="H21" s="69"/>
      <c r="I21" s="70"/>
      <c r="J21" s="71"/>
      <c r="K21" s="58"/>
      <c r="L21" s="58"/>
      <c r="M21" s="58"/>
      <c r="N21" s="58"/>
      <c r="O21" s="58"/>
      <c r="P21" s="58"/>
      <c r="Q21" s="58"/>
      <c r="R21" s="58"/>
      <c r="S21" s="58"/>
    </row>
    <row r="22" spans="1:19" ht="21" customHeight="1" x14ac:dyDescent="0.4">
      <c r="A22" s="65" t="s">
        <v>220</v>
      </c>
      <c r="B22" s="65" t="s">
        <v>216</v>
      </c>
      <c r="C22" s="65">
        <v>71</v>
      </c>
      <c r="D22" s="65">
        <v>198</v>
      </c>
      <c r="E22" s="58"/>
      <c r="F22" s="58"/>
      <c r="G22" s="62" t="s">
        <v>182</v>
      </c>
      <c r="H22" s="69"/>
      <c r="I22" s="70"/>
      <c r="J22" s="71"/>
      <c r="K22" s="58"/>
      <c r="L22" s="58"/>
      <c r="M22" s="58"/>
      <c r="N22" s="58"/>
      <c r="O22" s="58"/>
      <c r="P22" s="58"/>
      <c r="Q22" s="58"/>
      <c r="R22" s="58"/>
      <c r="S22" s="58"/>
    </row>
    <row r="23" spans="1:19" ht="21" customHeight="1" x14ac:dyDescent="0.4">
      <c r="A23" s="61" t="s">
        <v>221</v>
      </c>
      <c r="B23" s="61" t="s">
        <v>222</v>
      </c>
      <c r="C23" s="61">
        <v>17</v>
      </c>
      <c r="D23" s="61">
        <v>38</v>
      </c>
      <c r="E23" s="58"/>
      <c r="F23" s="58"/>
      <c r="G23" s="62" t="s">
        <v>184</v>
      </c>
      <c r="H23" s="69"/>
      <c r="I23" s="70"/>
      <c r="J23" s="71"/>
      <c r="K23" s="58"/>
      <c r="L23" s="58"/>
      <c r="M23" s="58"/>
      <c r="N23" s="58"/>
      <c r="O23" s="58"/>
      <c r="P23" s="58"/>
      <c r="Q23" s="58"/>
      <c r="R23" s="58"/>
      <c r="S23" s="58"/>
    </row>
    <row r="24" spans="1:19" ht="21" customHeight="1" x14ac:dyDescent="0.4">
      <c r="A24" s="65" t="s">
        <v>187</v>
      </c>
      <c r="B24" s="65" t="s">
        <v>223</v>
      </c>
      <c r="C24" s="65">
        <v>241</v>
      </c>
      <c r="D24" s="65">
        <v>830</v>
      </c>
      <c r="E24" s="58"/>
      <c r="F24" s="58"/>
      <c r="G24" s="62" t="s">
        <v>187</v>
      </c>
      <c r="H24" s="69"/>
      <c r="I24" s="69"/>
      <c r="J24" s="71"/>
      <c r="K24" s="58"/>
      <c r="L24" s="58"/>
      <c r="M24" s="58"/>
      <c r="N24" s="58"/>
      <c r="O24" s="58"/>
      <c r="P24" s="58"/>
      <c r="Q24" s="58"/>
      <c r="R24" s="58"/>
      <c r="S24" s="58"/>
    </row>
    <row r="25" spans="1:19" ht="21" customHeight="1" x14ac:dyDescent="0.4">
      <c r="A25" s="61" t="s">
        <v>224</v>
      </c>
      <c r="B25" s="61" t="s">
        <v>225</v>
      </c>
      <c r="C25" s="61">
        <v>216</v>
      </c>
      <c r="D25" s="68">
        <v>1091</v>
      </c>
      <c r="E25" s="58"/>
      <c r="F25" s="58"/>
      <c r="G25" s="62" t="s">
        <v>190</v>
      </c>
      <c r="H25" s="69"/>
      <c r="I25" s="69"/>
      <c r="J25" s="71"/>
      <c r="K25" s="58"/>
      <c r="L25" s="58"/>
      <c r="M25" s="58"/>
      <c r="N25" s="58"/>
      <c r="O25" s="58"/>
      <c r="P25" s="58"/>
      <c r="Q25" s="58"/>
      <c r="R25" s="58"/>
      <c r="S25" s="58"/>
    </row>
    <row r="26" spans="1:19" ht="21" customHeight="1" x14ac:dyDescent="0.4">
      <c r="A26" s="65" t="s">
        <v>226</v>
      </c>
      <c r="B26" s="65" t="s">
        <v>227</v>
      </c>
      <c r="C26" s="65">
        <v>-55</v>
      </c>
      <c r="D26" s="65">
        <v>868</v>
      </c>
      <c r="E26" s="58"/>
      <c r="F26" s="58"/>
      <c r="G26" s="62" t="s">
        <v>193</v>
      </c>
      <c r="H26" s="69"/>
      <c r="I26" s="69"/>
      <c r="J26" s="71"/>
      <c r="K26" s="58"/>
      <c r="L26" s="58"/>
      <c r="M26" s="58"/>
      <c r="N26" s="58"/>
      <c r="O26" s="58"/>
      <c r="P26" s="58"/>
      <c r="Q26" s="58"/>
      <c r="R26" s="58"/>
      <c r="S26" s="58"/>
    </row>
    <row r="27" spans="1:19" ht="21" customHeight="1" x14ac:dyDescent="0.4">
      <c r="A27" s="61" t="s">
        <v>228</v>
      </c>
      <c r="B27" s="61" t="s">
        <v>195</v>
      </c>
      <c r="C27" s="61">
        <v>23</v>
      </c>
      <c r="D27" s="61">
        <v>74</v>
      </c>
      <c r="E27" s="58"/>
      <c r="F27" s="58"/>
      <c r="G27" s="62" t="s">
        <v>196</v>
      </c>
      <c r="H27" s="69"/>
      <c r="I27" s="69"/>
      <c r="J27" s="71"/>
      <c r="K27" s="58"/>
      <c r="L27" s="58"/>
      <c r="M27" s="58"/>
      <c r="N27" s="58"/>
      <c r="O27" s="58"/>
      <c r="P27" s="58"/>
      <c r="Q27" s="58"/>
      <c r="R27" s="58"/>
      <c r="S27" s="58"/>
    </row>
    <row r="28" spans="1:19" ht="21" customHeight="1" x14ac:dyDescent="0.4">
      <c r="A28" s="65" t="s">
        <v>229</v>
      </c>
      <c r="B28" s="65" t="s">
        <v>195</v>
      </c>
      <c r="C28" s="65">
        <v>-25</v>
      </c>
      <c r="D28" s="65">
        <v>58</v>
      </c>
      <c r="E28" s="58"/>
      <c r="F28" s="58"/>
      <c r="G28" s="63" t="s">
        <v>199</v>
      </c>
      <c r="H28" s="69"/>
      <c r="I28" s="69"/>
      <c r="J28" s="71"/>
      <c r="K28" s="58"/>
      <c r="L28" s="58"/>
      <c r="M28" s="58"/>
      <c r="N28" s="58"/>
      <c r="O28" s="58"/>
      <c r="P28" s="58"/>
      <c r="Q28" s="58"/>
      <c r="R28" s="58"/>
      <c r="S28" s="58"/>
    </row>
    <row r="29" spans="1:19" ht="21" customHeight="1" x14ac:dyDescent="0.4">
      <c r="A29" s="61" t="s">
        <v>230</v>
      </c>
      <c r="B29" s="61" t="s">
        <v>181</v>
      </c>
      <c r="C29" s="61">
        <v>89</v>
      </c>
      <c r="D29" s="61">
        <v>281</v>
      </c>
      <c r="E29" s="58"/>
      <c r="F29" s="58"/>
      <c r="G29" s="63" t="s">
        <v>202</v>
      </c>
      <c r="H29" s="69"/>
      <c r="I29" s="69"/>
      <c r="J29" s="71"/>
      <c r="K29" s="58"/>
      <c r="L29" s="58"/>
      <c r="M29" s="58"/>
      <c r="N29" s="58"/>
      <c r="O29" s="58"/>
      <c r="P29" s="58"/>
      <c r="Q29" s="58"/>
      <c r="R29" s="58"/>
      <c r="S29" s="58"/>
    </row>
    <row r="30" spans="1:19" ht="21" customHeight="1" x14ac:dyDescent="0.4">
      <c r="A30" s="65" t="s">
        <v>231</v>
      </c>
      <c r="B30" s="65" t="s">
        <v>189</v>
      </c>
      <c r="C30" s="65">
        <v>79</v>
      </c>
      <c r="D30" s="65">
        <v>402</v>
      </c>
      <c r="E30" s="58"/>
      <c r="F30" s="58"/>
      <c r="G30" s="63" t="s">
        <v>204</v>
      </c>
      <c r="H30" s="69"/>
      <c r="I30" s="69"/>
      <c r="J30" s="71"/>
      <c r="K30" s="58"/>
      <c r="L30" s="58"/>
      <c r="M30" s="58"/>
      <c r="N30" s="58"/>
      <c r="O30" s="58"/>
      <c r="P30" s="58"/>
      <c r="Q30" s="58"/>
      <c r="R30" s="58"/>
      <c r="S30" s="58"/>
    </row>
    <row r="31" spans="1:19" ht="21" customHeight="1" x14ac:dyDescent="0.4">
      <c r="A31" s="61" t="s">
        <v>232</v>
      </c>
      <c r="B31" s="61" t="s">
        <v>205</v>
      </c>
      <c r="C31" s="61">
        <v>16</v>
      </c>
      <c r="D31" s="61">
        <v>159</v>
      </c>
      <c r="E31" s="58"/>
      <c r="F31" s="58"/>
      <c r="G31" s="62" t="s">
        <v>193</v>
      </c>
      <c r="H31" s="69"/>
      <c r="I31" s="69"/>
      <c r="J31" s="71"/>
      <c r="K31" s="58"/>
      <c r="L31" s="58"/>
      <c r="M31" s="58"/>
      <c r="N31" s="58"/>
      <c r="O31" s="58"/>
      <c r="P31" s="58"/>
      <c r="Q31" s="58"/>
      <c r="R31" s="58"/>
      <c r="S31" s="58"/>
    </row>
    <row r="32" spans="1:19" ht="21" customHeight="1" x14ac:dyDescent="0.4">
      <c r="A32" s="65" t="s">
        <v>233</v>
      </c>
      <c r="B32" s="65" t="s">
        <v>225</v>
      </c>
      <c r="C32" s="65">
        <v>9</v>
      </c>
      <c r="D32" s="65">
        <v>115</v>
      </c>
      <c r="E32" s="58"/>
      <c r="F32" s="58"/>
      <c r="G32" s="63" t="s">
        <v>200</v>
      </c>
      <c r="H32" s="69"/>
      <c r="I32" s="70"/>
      <c r="J32" s="71"/>
      <c r="K32" s="58"/>
      <c r="L32" s="58"/>
      <c r="M32" s="58"/>
      <c r="N32" s="58"/>
      <c r="O32" s="58"/>
      <c r="P32" s="58"/>
      <c r="Q32" s="58"/>
      <c r="R32" s="58"/>
      <c r="S32" s="58"/>
    </row>
    <row r="33" spans="1:19" ht="21" customHeight="1" x14ac:dyDescent="0.4">
      <c r="A33" s="61" t="s">
        <v>234</v>
      </c>
      <c r="B33" s="61" t="s">
        <v>210</v>
      </c>
      <c r="C33" s="61">
        <v>195</v>
      </c>
      <c r="D33" s="68">
        <v>1243</v>
      </c>
      <c r="E33" s="58"/>
      <c r="F33" s="58"/>
      <c r="G33" s="63" t="s">
        <v>208</v>
      </c>
      <c r="H33" s="69"/>
      <c r="I33" s="70"/>
      <c r="J33" s="71"/>
      <c r="K33" s="58"/>
      <c r="L33" s="58"/>
      <c r="M33" s="58"/>
      <c r="N33" s="58"/>
      <c r="O33" s="58"/>
      <c r="P33" s="58"/>
      <c r="Q33" s="58"/>
      <c r="R33" s="58"/>
      <c r="S33" s="58"/>
    </row>
    <row r="34" spans="1:19" ht="21" customHeight="1" x14ac:dyDescent="0.4">
      <c r="A34" s="65" t="s">
        <v>190</v>
      </c>
      <c r="B34" s="65" t="s">
        <v>186</v>
      </c>
      <c r="C34" s="65">
        <v>-21</v>
      </c>
      <c r="D34" s="65">
        <v>40</v>
      </c>
      <c r="E34" s="58"/>
      <c r="F34" s="58"/>
      <c r="G34" s="63" t="s">
        <v>211</v>
      </c>
      <c r="H34" s="69"/>
      <c r="I34" s="70"/>
      <c r="J34" s="71"/>
      <c r="K34" s="58"/>
      <c r="L34" s="58"/>
      <c r="M34" s="58"/>
      <c r="N34" s="58"/>
      <c r="O34" s="58"/>
      <c r="P34" s="58"/>
      <c r="Q34" s="58"/>
      <c r="R34" s="58"/>
      <c r="S34" s="58"/>
    </row>
    <row r="35" spans="1:19" ht="21" customHeight="1" x14ac:dyDescent="0.35">
      <c r="A35" s="61" t="s">
        <v>235</v>
      </c>
      <c r="B35" s="61" t="s">
        <v>219</v>
      </c>
      <c r="C35" s="61">
        <v>4</v>
      </c>
      <c r="D35" s="61">
        <v>9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spans="1:19" ht="21" customHeight="1" x14ac:dyDescent="0.35">
      <c r="A36" s="65" t="s">
        <v>196</v>
      </c>
      <c r="B36" s="65" t="s">
        <v>236</v>
      </c>
      <c r="C36" s="65">
        <v>2</v>
      </c>
      <c r="D36" s="65">
        <v>7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</row>
    <row r="37" spans="1:19" ht="21" customHeight="1" x14ac:dyDescent="0.35">
      <c r="A37" s="61" t="s">
        <v>237</v>
      </c>
      <c r="B37" s="61" t="s">
        <v>178</v>
      </c>
      <c r="C37" s="61">
        <v>2</v>
      </c>
      <c r="D37" s="61">
        <v>7</v>
      </c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</row>
    <row r="38" spans="1:19" ht="21" customHeight="1" x14ac:dyDescent="0.35">
      <c r="A38" s="65" t="s">
        <v>238</v>
      </c>
      <c r="B38" s="65" t="s">
        <v>222</v>
      </c>
      <c r="C38" s="65">
        <v>9</v>
      </c>
      <c r="D38" s="65">
        <v>24</v>
      </c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 spans="1:19" ht="21" customHeight="1" x14ac:dyDescent="0.35">
      <c r="A39" s="61" t="s">
        <v>239</v>
      </c>
      <c r="B39" s="61" t="s">
        <v>186</v>
      </c>
      <c r="C39" s="61">
        <v>2</v>
      </c>
      <c r="D39" s="61">
        <v>16</v>
      </c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</row>
    <row r="40" spans="1:19" ht="21" customHeight="1" x14ac:dyDescent="0.35">
      <c r="A40" s="65" t="s">
        <v>240</v>
      </c>
      <c r="B40" s="65" t="s">
        <v>176</v>
      </c>
      <c r="C40" s="65">
        <v>1</v>
      </c>
      <c r="D40" s="65">
        <v>2</v>
      </c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 spans="1:19" ht="21" customHeight="1" x14ac:dyDescent="0.35">
      <c r="A41" s="61" t="s">
        <v>241</v>
      </c>
      <c r="B41" s="61" t="s">
        <v>242</v>
      </c>
      <c r="C41" s="61">
        <v>30</v>
      </c>
      <c r="D41" s="61">
        <v>74</v>
      </c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</row>
    <row r="42" spans="1:19" ht="21" customHeight="1" x14ac:dyDescent="0.35">
      <c r="A42" s="65" t="s">
        <v>243</v>
      </c>
      <c r="B42" s="65" t="s">
        <v>244</v>
      </c>
      <c r="C42" s="65">
        <v>10</v>
      </c>
      <c r="D42" s="65">
        <v>22</v>
      </c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</row>
    <row r="43" spans="1:19" ht="21" customHeight="1" x14ac:dyDescent="0.35">
      <c r="A43" s="61" t="s">
        <v>245</v>
      </c>
      <c r="B43" s="61" t="s">
        <v>246</v>
      </c>
      <c r="C43" s="61">
        <v>14</v>
      </c>
      <c r="D43" s="61">
        <v>79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spans="1:19" ht="21" customHeight="1" x14ac:dyDescent="0.35">
      <c r="A44" s="65" t="s">
        <v>247</v>
      </c>
      <c r="B44" s="65" t="s">
        <v>186</v>
      </c>
      <c r="C44" s="65">
        <v>2</v>
      </c>
      <c r="D44" s="65">
        <v>16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</row>
    <row r="45" spans="1:19" ht="21" customHeight="1" x14ac:dyDescent="0.35">
      <c r="A45" s="61" t="s">
        <v>248</v>
      </c>
      <c r="B45" s="61" t="s">
        <v>249</v>
      </c>
      <c r="C45" s="61">
        <v>127</v>
      </c>
      <c r="D45" s="68">
        <v>1039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</row>
    <row r="46" spans="1:19" ht="21" customHeight="1" x14ac:dyDescent="0.35">
      <c r="A46" s="65" t="s">
        <v>250</v>
      </c>
      <c r="B46" s="65" t="s">
        <v>181</v>
      </c>
      <c r="C46" s="65">
        <v>89</v>
      </c>
      <c r="D46" s="65">
        <v>281</v>
      </c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</row>
    <row r="47" spans="1:19" ht="21" customHeight="1" x14ac:dyDescent="0.35">
      <c r="A47" s="61" t="s">
        <v>251</v>
      </c>
      <c r="B47" s="61" t="s">
        <v>252</v>
      </c>
      <c r="C47" s="61">
        <v>-99</v>
      </c>
      <c r="D47" s="61">
        <v>72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</row>
    <row r="48" spans="1:19" ht="21" customHeight="1" x14ac:dyDescent="0.35">
      <c r="A48" s="65" t="s">
        <v>253</v>
      </c>
      <c r="B48" s="65" t="s">
        <v>189</v>
      </c>
      <c r="C48" s="65">
        <v>15</v>
      </c>
      <c r="D48" s="65">
        <v>42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</row>
    <row r="49" spans="1:19" ht="21" customHeight="1" x14ac:dyDescent="0.35">
      <c r="A49" s="61" t="s">
        <v>254</v>
      </c>
      <c r="B49" s="61" t="s">
        <v>214</v>
      </c>
      <c r="C49" s="61">
        <v>165</v>
      </c>
      <c r="D49" s="61">
        <v>541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</row>
    <row r="50" spans="1:19" ht="21" customHeight="1" x14ac:dyDescent="0.35">
      <c r="A50" s="65" t="s">
        <v>255</v>
      </c>
      <c r="B50" s="65" t="s">
        <v>186</v>
      </c>
      <c r="C50" s="65">
        <v>-21</v>
      </c>
      <c r="D50" s="65">
        <v>40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</row>
    <row r="51" spans="1:19" ht="21" customHeight="1" x14ac:dyDescent="0.35">
      <c r="A51" s="61" t="s">
        <v>256</v>
      </c>
      <c r="B51" s="61" t="s">
        <v>216</v>
      </c>
      <c r="C51" s="61">
        <v>35</v>
      </c>
      <c r="D51" s="61">
        <v>99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spans="1:19" ht="21" customHeight="1" x14ac:dyDescent="0.35">
      <c r="A52" s="65" t="s">
        <v>257</v>
      </c>
      <c r="B52" s="65" t="s">
        <v>258</v>
      </c>
      <c r="C52" s="65">
        <v>20</v>
      </c>
      <c r="D52" s="65">
        <v>64</v>
      </c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</row>
    <row r="53" spans="1:19" ht="21" customHeight="1" x14ac:dyDescent="0.35">
      <c r="A53" s="61" t="s">
        <v>259</v>
      </c>
      <c r="B53" s="61" t="s">
        <v>260</v>
      </c>
      <c r="C53" s="61">
        <v>11</v>
      </c>
      <c r="D53" s="61">
        <v>137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</row>
    <row r="54" spans="1:19" ht="21" customHeight="1" x14ac:dyDescent="0.35">
      <c r="A54" s="65" t="s">
        <v>261</v>
      </c>
      <c r="B54" s="65" t="s">
        <v>205</v>
      </c>
      <c r="C54" s="65">
        <v>255</v>
      </c>
      <c r="D54" s="65">
        <v>601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</row>
    <row r="55" spans="1:19" ht="21" customHeight="1" x14ac:dyDescent="0.35">
      <c r="A55" s="61" t="s">
        <v>262</v>
      </c>
      <c r="B55" s="61" t="s">
        <v>195</v>
      </c>
      <c r="C55" s="61">
        <v>-25</v>
      </c>
      <c r="D55" s="61">
        <v>58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</row>
    <row r="56" spans="1:19" ht="21" customHeight="1" x14ac:dyDescent="0.35">
      <c r="A56" s="65" t="s">
        <v>263</v>
      </c>
      <c r="B56" s="65" t="s">
        <v>192</v>
      </c>
      <c r="C56" s="65">
        <v>30</v>
      </c>
      <c r="D56" s="65">
        <v>88</v>
      </c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</row>
    <row r="57" spans="1:19" ht="21" customHeight="1" x14ac:dyDescent="0.35">
      <c r="A57" s="61" t="s">
        <v>264</v>
      </c>
      <c r="B57" s="61" t="s">
        <v>219</v>
      </c>
      <c r="C57" s="61">
        <v>-6</v>
      </c>
      <c r="D57" s="61">
        <v>14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</row>
    <row r="58" spans="1:19" ht="21" customHeight="1" x14ac:dyDescent="0.35">
      <c r="A58" s="65" t="s">
        <v>265</v>
      </c>
      <c r="B58" s="65" t="s">
        <v>210</v>
      </c>
      <c r="C58" s="65">
        <v>195</v>
      </c>
      <c r="D58" s="66">
        <v>1243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</row>
    <row r="59" spans="1:19" ht="21" customHeight="1" x14ac:dyDescent="0.35">
      <c r="A59" s="61" t="s">
        <v>266</v>
      </c>
      <c r="B59" s="61" t="s">
        <v>267</v>
      </c>
      <c r="C59" s="61">
        <v>-31</v>
      </c>
      <c r="D59" s="61">
        <v>83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spans="1:19" ht="21" customHeight="1" x14ac:dyDescent="0.35">
      <c r="A60" s="65" t="s">
        <v>268</v>
      </c>
      <c r="B60" s="65" t="s">
        <v>222</v>
      </c>
      <c r="C60" s="65">
        <v>17</v>
      </c>
      <c r="D60" s="65">
        <v>38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</row>
    <row r="61" spans="1:19" ht="21" customHeight="1" x14ac:dyDescent="0.35">
      <c r="A61" s="61" t="s">
        <v>269</v>
      </c>
      <c r="B61" s="61" t="s">
        <v>236</v>
      </c>
      <c r="C61" s="61">
        <v>2</v>
      </c>
      <c r="D61" s="61">
        <v>7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</row>
    <row r="62" spans="1:19" ht="21" customHeight="1" x14ac:dyDescent="0.35">
      <c r="A62" s="65" t="s">
        <v>270</v>
      </c>
      <c r="B62" s="65" t="s">
        <v>242</v>
      </c>
      <c r="C62" s="65">
        <v>24</v>
      </c>
      <c r="D62" s="65">
        <v>54</v>
      </c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</row>
    <row r="63" spans="1:19" ht="21" customHeight="1" x14ac:dyDescent="0.35">
      <c r="A63" s="61" t="s">
        <v>271</v>
      </c>
      <c r="B63" s="61" t="s">
        <v>244</v>
      </c>
      <c r="C63" s="61">
        <v>10</v>
      </c>
      <c r="D63" s="61">
        <v>22</v>
      </c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</row>
    <row r="64" spans="1:19" ht="21" customHeight="1" x14ac:dyDescent="0.35">
      <c r="A64" s="65" t="s">
        <v>272</v>
      </c>
      <c r="B64" s="65" t="s">
        <v>225</v>
      </c>
      <c r="C64" s="65">
        <v>15</v>
      </c>
      <c r="D64" s="65">
        <v>55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</row>
    <row r="65" spans="1:19" ht="21" customHeight="1" x14ac:dyDescent="0.35">
      <c r="A65" s="61" t="s">
        <v>273</v>
      </c>
      <c r="B65" s="61" t="s">
        <v>176</v>
      </c>
      <c r="C65" s="61">
        <v>3</v>
      </c>
      <c r="D65" s="61">
        <v>6</v>
      </c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</row>
    <row r="66" spans="1:19" ht="21" customHeight="1" x14ac:dyDescent="0.35">
      <c r="A66" s="65" t="s">
        <v>274</v>
      </c>
      <c r="B66" s="65" t="s">
        <v>178</v>
      </c>
      <c r="C66" s="65">
        <v>17</v>
      </c>
      <c r="D66" s="65">
        <v>38</v>
      </c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</row>
    <row r="67" spans="1:19" ht="21" customHeight="1" x14ac:dyDescent="0.35">
      <c r="A67" s="61" t="s">
        <v>275</v>
      </c>
      <c r="B67" s="61" t="s">
        <v>276</v>
      </c>
      <c r="C67" s="61">
        <v>4</v>
      </c>
      <c r="D67" s="61">
        <v>10</v>
      </c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 spans="1:19" ht="21" customHeight="1" x14ac:dyDescent="0.35">
      <c r="A68" s="65" t="s">
        <v>277</v>
      </c>
      <c r="B68" s="65" t="s">
        <v>195</v>
      </c>
      <c r="C68" s="65">
        <v>-25</v>
      </c>
      <c r="D68" s="65">
        <v>58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</row>
    <row r="69" spans="1:19" ht="21" customHeight="1" x14ac:dyDescent="0.35">
      <c r="A69" s="61" t="s">
        <v>278</v>
      </c>
      <c r="B69" s="61" t="s">
        <v>186</v>
      </c>
      <c r="C69" s="61">
        <v>-21</v>
      </c>
      <c r="D69" s="61">
        <v>40</v>
      </c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</row>
    <row r="70" spans="1:19" ht="21" customHeight="1" x14ac:dyDescent="0.35">
      <c r="A70" s="65" t="s">
        <v>279</v>
      </c>
      <c r="B70" s="65" t="s">
        <v>176</v>
      </c>
      <c r="C70" s="65">
        <v>9</v>
      </c>
      <c r="D70" s="65">
        <v>19</v>
      </c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</row>
    <row r="71" spans="1:19" ht="21" customHeight="1" x14ac:dyDescent="0.35">
      <c r="A71" s="61" t="s">
        <v>280</v>
      </c>
      <c r="B71" s="61" t="s">
        <v>246</v>
      </c>
      <c r="C71" s="61">
        <v>24</v>
      </c>
      <c r="D71" s="61">
        <v>258</v>
      </c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</row>
    <row r="72" spans="1:19" ht="21" customHeight="1" x14ac:dyDescent="0.35">
      <c r="A72" s="65" t="s">
        <v>281</v>
      </c>
      <c r="B72" s="65" t="s">
        <v>249</v>
      </c>
      <c r="C72" s="65">
        <v>54</v>
      </c>
      <c r="D72" s="65">
        <v>725</v>
      </c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</row>
    <row r="73" spans="1:19" ht="21" customHeight="1" x14ac:dyDescent="0.35">
      <c r="A73" s="61" t="s">
        <v>282</v>
      </c>
      <c r="B73" s="61" t="s">
        <v>181</v>
      </c>
      <c r="C73" s="61">
        <v>89</v>
      </c>
      <c r="D73" s="61">
        <v>281</v>
      </c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</row>
    <row r="74" spans="1:19" ht="21" customHeight="1" x14ac:dyDescent="0.35">
      <c r="A74" s="65" t="s">
        <v>283</v>
      </c>
      <c r="B74" s="65" t="s">
        <v>252</v>
      </c>
      <c r="C74" s="65">
        <v>-99</v>
      </c>
      <c r="D74" s="65">
        <v>72</v>
      </c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</row>
    <row r="75" spans="1:19" ht="21" customHeight="1" x14ac:dyDescent="0.35">
      <c r="A75" s="61" t="s">
        <v>284</v>
      </c>
      <c r="B75" s="61" t="s">
        <v>183</v>
      </c>
      <c r="C75" s="61">
        <v>182</v>
      </c>
      <c r="D75" s="61">
        <v>388</v>
      </c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</row>
    <row r="76" spans="1:19" ht="21" customHeight="1" x14ac:dyDescent="0.35">
      <c r="A76" s="65" t="s">
        <v>285</v>
      </c>
      <c r="B76" s="65" t="s">
        <v>189</v>
      </c>
      <c r="C76" s="65">
        <v>15</v>
      </c>
      <c r="D76" s="65">
        <v>42</v>
      </c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</row>
    <row r="77" spans="1:19" ht="21" customHeight="1" x14ac:dyDescent="0.35">
      <c r="A77" s="61" t="s">
        <v>286</v>
      </c>
      <c r="B77" s="61" t="s">
        <v>236</v>
      </c>
      <c r="C77" s="61">
        <v>2</v>
      </c>
      <c r="D77" s="61">
        <v>7</v>
      </c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</row>
    <row r="78" spans="1:19" ht="21" customHeight="1" x14ac:dyDescent="0.35">
      <c r="A78" s="65" t="s">
        <v>287</v>
      </c>
      <c r="B78" s="65" t="s">
        <v>216</v>
      </c>
      <c r="C78" s="65">
        <v>35</v>
      </c>
      <c r="D78" s="65">
        <v>99</v>
      </c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</row>
    <row r="79" spans="1:19" ht="21" customHeight="1" x14ac:dyDescent="0.35">
      <c r="A79" s="61" t="s">
        <v>288</v>
      </c>
      <c r="B79" s="61" t="s">
        <v>198</v>
      </c>
      <c r="C79" s="61">
        <v>2</v>
      </c>
      <c r="D79" s="61">
        <v>41</v>
      </c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</row>
    <row r="80" spans="1:19" ht="21" customHeight="1" x14ac:dyDescent="0.35">
      <c r="A80" s="65" t="s">
        <v>289</v>
      </c>
      <c r="B80" s="65" t="s">
        <v>258</v>
      </c>
      <c r="C80" s="65">
        <v>9</v>
      </c>
      <c r="D80" s="65">
        <v>68</v>
      </c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</row>
    <row r="81" spans="1:19" ht="21" customHeight="1" x14ac:dyDescent="0.35">
      <c r="A81" s="61" t="s">
        <v>290</v>
      </c>
      <c r="B81" s="61" t="s">
        <v>201</v>
      </c>
      <c r="C81" s="61">
        <v>1</v>
      </c>
      <c r="D81" s="61">
        <v>3</v>
      </c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</row>
    <row r="82" spans="1:19" ht="21" customHeight="1" x14ac:dyDescent="0.35">
      <c r="A82" s="65" t="s">
        <v>291</v>
      </c>
      <c r="B82" s="65" t="s">
        <v>260</v>
      </c>
      <c r="C82" s="65">
        <v>-33</v>
      </c>
      <c r="D82" s="65">
        <v>30</v>
      </c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</row>
    <row r="83" spans="1:19" ht="21" customHeight="1" x14ac:dyDescent="0.35">
      <c r="A83" s="61" t="s">
        <v>292</v>
      </c>
      <c r="B83" s="61" t="s">
        <v>203</v>
      </c>
      <c r="C83" s="61">
        <v>2</v>
      </c>
      <c r="D83" s="61">
        <v>7</v>
      </c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</row>
    <row r="84" spans="1:19" ht="21" customHeight="1" x14ac:dyDescent="0.35">
      <c r="A84" s="65" t="s">
        <v>293</v>
      </c>
      <c r="B84" s="65" t="s">
        <v>205</v>
      </c>
      <c r="C84" s="65">
        <v>255</v>
      </c>
      <c r="D84" s="65">
        <v>601</v>
      </c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</row>
    <row r="85" spans="1:19" ht="21" customHeight="1" x14ac:dyDescent="0.35">
      <c r="A85" s="61" t="s">
        <v>294</v>
      </c>
      <c r="B85" s="61" t="s">
        <v>214</v>
      </c>
      <c r="C85" s="61">
        <v>165</v>
      </c>
      <c r="D85" s="61">
        <v>541</v>
      </c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</row>
    <row r="86" spans="1:19" ht="21" customHeight="1" x14ac:dyDescent="0.35">
      <c r="A86" s="65" t="s">
        <v>295</v>
      </c>
      <c r="B86" s="65" t="s">
        <v>206</v>
      </c>
      <c r="C86" s="66">
        <v>1417</v>
      </c>
      <c r="D86" s="66">
        <v>5607</v>
      </c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</row>
    <row r="87" spans="1:19" ht="21" customHeight="1" x14ac:dyDescent="0.35">
      <c r="A87" s="61" t="s">
        <v>296</v>
      </c>
      <c r="B87" s="61" t="s">
        <v>207</v>
      </c>
      <c r="C87" s="61">
        <v>9</v>
      </c>
      <c r="D87" s="61">
        <v>19</v>
      </c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</row>
    <row r="88" spans="1:19" ht="21" customHeight="1" x14ac:dyDescent="0.35">
      <c r="A88" s="65" t="s">
        <v>297</v>
      </c>
      <c r="B88" s="65" t="s">
        <v>178</v>
      </c>
      <c r="C88" s="65">
        <v>9</v>
      </c>
      <c r="D88" s="65">
        <v>19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</row>
    <row r="89" spans="1:19" ht="21" customHeight="1" x14ac:dyDescent="0.35">
      <c r="A89" s="61" t="s">
        <v>298</v>
      </c>
      <c r="B89" s="61" t="s">
        <v>192</v>
      </c>
      <c r="C89" s="61">
        <v>30</v>
      </c>
      <c r="D89" s="61">
        <v>88</v>
      </c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</row>
    <row r="90" spans="1:19" ht="21" customHeight="1" x14ac:dyDescent="0.35">
      <c r="A90" s="65" t="s">
        <v>299</v>
      </c>
      <c r="B90" s="65" t="s">
        <v>210</v>
      </c>
      <c r="C90" s="65">
        <v>195</v>
      </c>
      <c r="D90" s="66">
        <v>1243</v>
      </c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</row>
    <row r="91" spans="1:19" ht="21" customHeight="1" x14ac:dyDescent="0.35">
      <c r="A91" s="61" t="s">
        <v>300</v>
      </c>
      <c r="B91" s="61" t="s">
        <v>267</v>
      </c>
      <c r="C91" s="61">
        <v>58</v>
      </c>
      <c r="D91" s="61">
        <v>126</v>
      </c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</row>
    <row r="92" spans="1:19" ht="21" customHeight="1" x14ac:dyDescent="0.35">
      <c r="A92" s="65" t="s">
        <v>301</v>
      </c>
      <c r="B92" s="65" t="s">
        <v>192</v>
      </c>
      <c r="C92" s="65">
        <v>30</v>
      </c>
      <c r="D92" s="65">
        <v>88</v>
      </c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</row>
    <row r="93" spans="1:19" ht="21" customHeight="1" x14ac:dyDescent="0.35">
      <c r="A93" s="61" t="s">
        <v>302</v>
      </c>
      <c r="B93" s="61" t="s">
        <v>214</v>
      </c>
      <c r="C93" s="61">
        <v>-1</v>
      </c>
      <c r="D93" s="61">
        <v>3</v>
      </c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</row>
    <row r="94" spans="1:19" ht="21" customHeight="1" x14ac:dyDescent="0.35">
      <c r="A94" s="65" t="s">
        <v>303</v>
      </c>
      <c r="B94" s="65" t="s">
        <v>186</v>
      </c>
      <c r="C94" s="65">
        <v>2</v>
      </c>
      <c r="D94" s="65">
        <v>16</v>
      </c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</row>
    <row r="95" spans="1:19" ht="21" customHeight="1" x14ac:dyDescent="0.35">
      <c r="A95" s="61" t="s">
        <v>304</v>
      </c>
      <c r="B95" s="61" t="s">
        <v>216</v>
      </c>
      <c r="C95" s="61">
        <v>35</v>
      </c>
      <c r="D95" s="61">
        <v>99</v>
      </c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</row>
    <row r="96" spans="1:19" ht="21" customHeight="1" x14ac:dyDescent="0.35">
      <c r="A96" s="65" t="s">
        <v>305</v>
      </c>
      <c r="B96" s="65" t="s">
        <v>218</v>
      </c>
      <c r="C96" s="65">
        <v>10</v>
      </c>
      <c r="D96" s="65">
        <v>679</v>
      </c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</row>
    <row r="97" spans="1:19" ht="21" customHeight="1" x14ac:dyDescent="0.35">
      <c r="A97" s="61" t="s">
        <v>306</v>
      </c>
      <c r="B97" s="61" t="s">
        <v>222</v>
      </c>
      <c r="C97" s="61">
        <v>17</v>
      </c>
      <c r="D97" s="61">
        <v>38</v>
      </c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</row>
    <row r="98" spans="1:19" ht="21" customHeight="1" x14ac:dyDescent="0.35">
      <c r="A98" s="65" t="s">
        <v>307</v>
      </c>
      <c r="B98" s="65" t="s">
        <v>236</v>
      </c>
      <c r="C98" s="65">
        <v>2</v>
      </c>
      <c r="D98" s="65">
        <v>7</v>
      </c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</row>
    <row r="99" spans="1:19" ht="21" customHeight="1" x14ac:dyDescent="0.35">
      <c r="A99" s="61" t="s">
        <v>308</v>
      </c>
      <c r="B99" s="61" t="s">
        <v>219</v>
      </c>
      <c r="C99" s="61">
        <v>3</v>
      </c>
      <c r="D99" s="61">
        <v>6</v>
      </c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</row>
    <row r="100" spans="1:19" ht="21" customHeight="1" x14ac:dyDescent="0.35">
      <c r="A100" s="65" t="s">
        <v>309</v>
      </c>
      <c r="B100" s="65" t="s">
        <v>223</v>
      </c>
      <c r="C100" s="65">
        <v>28</v>
      </c>
      <c r="D100" s="65">
        <v>79</v>
      </c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</row>
    <row r="101" spans="1:19" ht="21" customHeight="1" x14ac:dyDescent="0.35">
      <c r="A101" s="61" t="s">
        <v>310</v>
      </c>
      <c r="B101" s="61" t="s">
        <v>227</v>
      </c>
      <c r="C101" s="61">
        <v>-55</v>
      </c>
      <c r="D101" s="61">
        <v>868</v>
      </c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</row>
    <row r="102" spans="1:19" ht="21" customHeight="1" x14ac:dyDescent="0.35">
      <c r="A102" s="65" t="s">
        <v>311</v>
      </c>
      <c r="B102" s="65" t="s">
        <v>195</v>
      </c>
      <c r="C102" s="65">
        <v>23</v>
      </c>
      <c r="D102" s="65">
        <v>74</v>
      </c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</row>
    <row r="103" spans="1:19" ht="21" customHeight="1" x14ac:dyDescent="0.35">
      <c r="A103" s="61" t="s">
        <v>312</v>
      </c>
      <c r="B103" s="61" t="s">
        <v>276</v>
      </c>
      <c r="C103" s="61">
        <v>4</v>
      </c>
      <c r="D103" s="61">
        <v>10</v>
      </c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</row>
    <row r="104" spans="1:19" ht="21" customHeight="1" x14ac:dyDescent="0.35">
      <c r="A104" s="65" t="s">
        <v>208</v>
      </c>
      <c r="B104" s="65" t="s">
        <v>313</v>
      </c>
      <c r="C104" s="65">
        <f>5*C102</f>
        <v>115</v>
      </c>
      <c r="D104" s="65">
        <f>5*D102</f>
        <v>370</v>
      </c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</row>
    <row r="105" spans="1:19" ht="21" customHeight="1" x14ac:dyDescent="0.35">
      <c r="A105" s="61" t="s">
        <v>211</v>
      </c>
      <c r="B105" s="61" t="s">
        <v>314</v>
      </c>
      <c r="C105" s="61">
        <f>5*C103</f>
        <v>20</v>
      </c>
      <c r="D105" s="61">
        <f>5*D103</f>
        <v>50</v>
      </c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</row>
    <row r="106" spans="1:19" ht="21" customHeight="1" x14ac:dyDescent="0.3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</row>
    <row r="107" spans="1:19" ht="21" customHeight="1" x14ac:dyDescent="0.3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</row>
    <row r="108" spans="1:19" ht="21" customHeight="1" x14ac:dyDescent="0.3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</row>
    <row r="109" spans="1:19" ht="21" customHeight="1" x14ac:dyDescent="0.3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</row>
    <row r="110" spans="1:19" ht="21" customHeight="1" x14ac:dyDescent="0.3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</row>
    <row r="111" spans="1:19" ht="21" customHeight="1" x14ac:dyDescent="0.3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</row>
    <row r="112" spans="1:19" ht="21" customHeight="1" x14ac:dyDescent="0.3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</row>
    <row r="113" spans="1:19" ht="21" customHeight="1" x14ac:dyDescent="0.3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</row>
    <row r="114" spans="1:19" ht="21" customHeight="1" x14ac:dyDescent="0.3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</row>
    <row r="115" spans="1:19" ht="21" customHeight="1" x14ac:dyDescent="0.3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</row>
    <row r="116" spans="1:19" ht="21" customHeight="1" x14ac:dyDescent="0.3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</row>
    <row r="117" spans="1:19" ht="21" customHeight="1" x14ac:dyDescent="0.3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</row>
    <row r="118" spans="1:19" ht="21" customHeight="1" x14ac:dyDescent="0.3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</row>
    <row r="119" spans="1:19" ht="21" customHeight="1" x14ac:dyDescent="0.3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</row>
    <row r="120" spans="1:19" ht="21" customHeight="1" x14ac:dyDescent="0.3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</row>
    <row r="121" spans="1:19" ht="21" customHeight="1" x14ac:dyDescent="0.3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</row>
    <row r="122" spans="1:19" ht="21" customHeight="1" x14ac:dyDescent="0.3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</row>
    <row r="123" spans="1:19" ht="21" customHeight="1" x14ac:dyDescent="0.3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</row>
    <row r="124" spans="1:19" ht="21" customHeight="1" x14ac:dyDescent="0.3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</row>
    <row r="125" spans="1:19" ht="21" customHeight="1" x14ac:dyDescent="0.3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</row>
    <row r="126" spans="1:19" ht="21" customHeight="1" x14ac:dyDescent="0.3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</row>
    <row r="127" spans="1:19" ht="21" customHeight="1" x14ac:dyDescent="0.3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</row>
    <row r="128" spans="1:19" ht="21" customHeight="1" x14ac:dyDescent="0.3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</row>
    <row r="129" spans="1:19" ht="21" customHeight="1" x14ac:dyDescent="0.3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</row>
    <row r="130" spans="1:19" ht="21" customHeight="1" x14ac:dyDescent="0.3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</row>
    <row r="131" spans="1:19" ht="21" customHeight="1" x14ac:dyDescent="0.3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</row>
    <row r="132" spans="1:19" ht="21" customHeight="1" x14ac:dyDescent="0.3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</row>
    <row r="133" spans="1:19" ht="21" customHeight="1" x14ac:dyDescent="0.3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</row>
    <row r="134" spans="1:19" ht="21" customHeight="1" x14ac:dyDescent="0.3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</row>
    <row r="135" spans="1:19" ht="21" customHeight="1" x14ac:dyDescent="0.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</row>
    <row r="136" spans="1:19" ht="21" customHeight="1" x14ac:dyDescent="0.3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</row>
    <row r="137" spans="1:19" ht="21" customHeight="1" x14ac:dyDescent="0.3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</row>
    <row r="138" spans="1:19" ht="21" customHeight="1" x14ac:dyDescent="0.3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</row>
    <row r="139" spans="1:19" ht="21" customHeight="1" x14ac:dyDescent="0.3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</row>
    <row r="140" spans="1:19" ht="21" customHeight="1" x14ac:dyDescent="0.3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</row>
    <row r="141" spans="1:19" ht="21" customHeight="1" x14ac:dyDescent="0.3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</row>
    <row r="142" spans="1:19" ht="21" customHeight="1" x14ac:dyDescent="0.3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</row>
    <row r="143" spans="1:19" ht="21" customHeight="1" x14ac:dyDescent="0.3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</row>
    <row r="144" spans="1:19" ht="21" customHeight="1" x14ac:dyDescent="0.3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</row>
    <row r="145" spans="1:19" ht="21" customHeight="1" x14ac:dyDescent="0.3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</row>
    <row r="146" spans="1:19" ht="21" customHeight="1" x14ac:dyDescent="0.3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</row>
    <row r="147" spans="1:19" ht="21" customHeight="1" x14ac:dyDescent="0.3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</row>
    <row r="148" spans="1:19" ht="21" customHeight="1" x14ac:dyDescent="0.3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</row>
    <row r="149" spans="1:19" ht="21" customHeight="1" x14ac:dyDescent="0.3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</row>
    <row r="150" spans="1:19" ht="21" customHeight="1" x14ac:dyDescent="0.3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</row>
    <row r="151" spans="1:19" ht="21" customHeight="1" x14ac:dyDescent="0.3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</row>
    <row r="152" spans="1:19" ht="21" customHeight="1" x14ac:dyDescent="0.3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</row>
    <row r="153" spans="1:19" ht="21" customHeight="1" x14ac:dyDescent="0.3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</row>
    <row r="154" spans="1:19" ht="21" customHeight="1" x14ac:dyDescent="0.3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</row>
    <row r="155" spans="1:19" ht="21" customHeight="1" x14ac:dyDescent="0.3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</row>
    <row r="156" spans="1:19" ht="21" customHeight="1" x14ac:dyDescent="0.3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</row>
    <row r="157" spans="1:19" ht="21" customHeight="1" x14ac:dyDescent="0.3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</row>
    <row r="158" spans="1:19" ht="21" customHeight="1" x14ac:dyDescent="0.3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</row>
    <row r="159" spans="1:19" ht="21" customHeight="1" x14ac:dyDescent="0.3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</row>
    <row r="160" spans="1:19" ht="21" customHeight="1" x14ac:dyDescent="0.3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</row>
    <row r="161" spans="1:19" ht="21" customHeight="1" x14ac:dyDescent="0.3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</row>
    <row r="162" spans="1:19" ht="21" customHeight="1" x14ac:dyDescent="0.3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</row>
    <row r="163" spans="1:19" ht="21" customHeight="1" x14ac:dyDescent="0.3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</row>
    <row r="164" spans="1:19" ht="21" customHeight="1" x14ac:dyDescent="0.3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</row>
    <row r="165" spans="1:19" ht="21" customHeight="1" x14ac:dyDescent="0.3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</row>
    <row r="166" spans="1:19" ht="21" customHeight="1" x14ac:dyDescent="0.3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</row>
    <row r="167" spans="1:19" ht="21" customHeight="1" x14ac:dyDescent="0.3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</row>
    <row r="168" spans="1:19" ht="21" customHeight="1" x14ac:dyDescent="0.3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</row>
    <row r="169" spans="1:19" ht="21" customHeight="1" x14ac:dyDescent="0.3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</row>
    <row r="170" spans="1:19" ht="21" customHeight="1" x14ac:dyDescent="0.3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</row>
    <row r="171" spans="1:19" ht="21" customHeight="1" x14ac:dyDescent="0.3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</row>
    <row r="172" spans="1:19" ht="21" customHeight="1" x14ac:dyDescent="0.3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</row>
    <row r="173" spans="1:19" ht="21" customHeight="1" x14ac:dyDescent="0.3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</row>
    <row r="174" spans="1:19" ht="21" customHeight="1" x14ac:dyDescent="0.3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</row>
    <row r="175" spans="1:19" ht="21" customHeight="1" x14ac:dyDescent="0.3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</row>
    <row r="176" spans="1:19" ht="21" customHeight="1" x14ac:dyDescent="0.3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</row>
    <row r="177" spans="1:19" ht="21" customHeight="1" x14ac:dyDescent="0.3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</row>
    <row r="178" spans="1:19" ht="21" customHeight="1" x14ac:dyDescent="0.3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</row>
    <row r="179" spans="1:19" ht="21" customHeight="1" x14ac:dyDescent="0.3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</row>
    <row r="180" spans="1:19" ht="21" customHeight="1" x14ac:dyDescent="0.3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</row>
    <row r="181" spans="1:19" ht="21" customHeight="1" x14ac:dyDescent="0.3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</row>
    <row r="182" spans="1:19" ht="21" customHeight="1" x14ac:dyDescent="0.3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</row>
    <row r="183" spans="1:19" ht="21" customHeight="1" x14ac:dyDescent="0.3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</row>
    <row r="184" spans="1:19" ht="21" customHeight="1" x14ac:dyDescent="0.3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</row>
    <row r="185" spans="1:19" ht="21" customHeight="1" x14ac:dyDescent="0.3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</row>
    <row r="186" spans="1:19" ht="21" customHeight="1" x14ac:dyDescent="0.3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</row>
    <row r="187" spans="1:19" ht="21" customHeight="1" x14ac:dyDescent="0.3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</row>
    <row r="188" spans="1:19" ht="21" customHeight="1" x14ac:dyDescent="0.3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</row>
    <row r="189" spans="1:19" ht="21" customHeight="1" x14ac:dyDescent="0.3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</row>
    <row r="190" spans="1:19" ht="21" customHeight="1" x14ac:dyDescent="0.3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</row>
    <row r="191" spans="1:19" ht="21" customHeight="1" x14ac:dyDescent="0.3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</row>
    <row r="192" spans="1:19" ht="21" customHeight="1" x14ac:dyDescent="0.3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</row>
    <row r="193" spans="1:19" ht="21" customHeight="1" x14ac:dyDescent="0.3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</row>
    <row r="194" spans="1:19" ht="21" customHeight="1" x14ac:dyDescent="0.3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</row>
    <row r="195" spans="1:19" ht="21" customHeight="1" x14ac:dyDescent="0.3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</row>
    <row r="196" spans="1:19" ht="21" customHeight="1" x14ac:dyDescent="0.3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</row>
    <row r="197" spans="1:19" ht="21" customHeight="1" x14ac:dyDescent="0.3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</row>
    <row r="198" spans="1:19" ht="21" customHeight="1" x14ac:dyDescent="0.3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</row>
    <row r="199" spans="1:19" ht="21" customHeight="1" x14ac:dyDescent="0.3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</row>
    <row r="200" spans="1:19" ht="21" customHeight="1" x14ac:dyDescent="0.3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</row>
    <row r="201" spans="1:19" ht="21" customHeight="1" x14ac:dyDescent="0.3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</row>
    <row r="202" spans="1:19" ht="21" customHeight="1" x14ac:dyDescent="0.3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</row>
    <row r="203" spans="1:19" ht="21" customHeight="1" x14ac:dyDescent="0.3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</row>
    <row r="204" spans="1:19" ht="21" customHeight="1" x14ac:dyDescent="0.3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</row>
    <row r="205" spans="1:19" ht="21" customHeight="1" x14ac:dyDescent="0.3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</row>
    <row r="206" spans="1:19" ht="21" customHeight="1" x14ac:dyDescent="0.3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</row>
    <row r="207" spans="1:19" ht="21" customHeight="1" x14ac:dyDescent="0.3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</row>
    <row r="208" spans="1:19" ht="21" customHeight="1" x14ac:dyDescent="0.3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</row>
    <row r="209" spans="1:19" ht="21" customHeight="1" x14ac:dyDescent="0.3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</row>
    <row r="210" spans="1:19" ht="21" customHeight="1" x14ac:dyDescent="0.3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</row>
    <row r="211" spans="1:19" ht="21" customHeight="1" x14ac:dyDescent="0.3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</row>
    <row r="212" spans="1:19" ht="21" customHeight="1" x14ac:dyDescent="0.3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</row>
    <row r="213" spans="1:19" ht="21" customHeight="1" x14ac:dyDescent="0.3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</row>
    <row r="214" spans="1:19" ht="21" customHeight="1" x14ac:dyDescent="0.3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</row>
    <row r="215" spans="1:19" ht="21" customHeight="1" x14ac:dyDescent="0.3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</row>
    <row r="216" spans="1:19" ht="21" customHeight="1" x14ac:dyDescent="0.3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</row>
    <row r="217" spans="1:19" ht="21" customHeight="1" x14ac:dyDescent="0.3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</row>
    <row r="218" spans="1:19" ht="21" customHeight="1" x14ac:dyDescent="0.3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</row>
    <row r="219" spans="1:19" ht="21" customHeight="1" x14ac:dyDescent="0.3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</row>
    <row r="220" spans="1:19" ht="21" customHeight="1" x14ac:dyDescent="0.3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</row>
    <row r="221" spans="1:19" ht="21" customHeight="1" x14ac:dyDescent="0.35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</row>
    <row r="222" spans="1:19" ht="21" customHeight="1" x14ac:dyDescent="0.35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</row>
    <row r="223" spans="1:19" ht="21" customHeight="1" x14ac:dyDescent="0.35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</row>
    <row r="224" spans="1:19" ht="21" customHeight="1" x14ac:dyDescent="0.35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</row>
    <row r="225" spans="1:19" ht="21" customHeight="1" x14ac:dyDescent="0.3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</row>
    <row r="226" spans="1:19" ht="21" customHeight="1" x14ac:dyDescent="0.35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</row>
    <row r="227" spans="1:19" ht="21" customHeight="1" x14ac:dyDescent="0.35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</row>
    <row r="228" spans="1:19" ht="21" customHeight="1" x14ac:dyDescent="0.35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</row>
    <row r="229" spans="1:19" ht="21" customHeight="1" x14ac:dyDescent="0.35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</row>
    <row r="230" spans="1:19" ht="21" customHeight="1" x14ac:dyDescent="0.35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</row>
    <row r="231" spans="1:19" ht="21" customHeight="1" x14ac:dyDescent="0.35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</row>
    <row r="232" spans="1:19" ht="21" customHeight="1" x14ac:dyDescent="0.35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</row>
    <row r="233" spans="1:19" ht="21" customHeight="1" x14ac:dyDescent="0.35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</row>
    <row r="234" spans="1:19" ht="21" customHeight="1" x14ac:dyDescent="0.35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</row>
    <row r="235" spans="1:19" ht="21" customHeight="1" x14ac:dyDescent="0.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</row>
    <row r="236" spans="1:19" ht="21" customHeight="1" x14ac:dyDescent="0.35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</row>
    <row r="237" spans="1:19" ht="21" customHeight="1" x14ac:dyDescent="0.35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</row>
    <row r="238" spans="1:19" ht="21" customHeight="1" x14ac:dyDescent="0.35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</row>
    <row r="239" spans="1:19" ht="21" customHeight="1" x14ac:dyDescent="0.35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</row>
    <row r="240" spans="1:19" ht="21" customHeight="1" x14ac:dyDescent="0.35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</row>
    <row r="241" spans="1:19" ht="21" customHeight="1" x14ac:dyDescent="0.35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</row>
    <row r="242" spans="1:19" ht="21" customHeight="1" x14ac:dyDescent="0.35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</row>
    <row r="243" spans="1:19" ht="21" customHeight="1" x14ac:dyDescent="0.35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</row>
    <row r="244" spans="1:19" ht="21" customHeight="1" x14ac:dyDescent="0.35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</row>
    <row r="245" spans="1:19" ht="21" customHeight="1" x14ac:dyDescent="0.3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</row>
    <row r="246" spans="1:19" ht="21" customHeight="1" x14ac:dyDescent="0.35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</row>
    <row r="247" spans="1:19" ht="21" customHeight="1" x14ac:dyDescent="0.35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</row>
    <row r="248" spans="1:19" ht="21" customHeight="1" x14ac:dyDescent="0.35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</row>
    <row r="249" spans="1:19" ht="21" customHeight="1" x14ac:dyDescent="0.35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</row>
    <row r="250" spans="1:19" ht="21" customHeight="1" x14ac:dyDescent="0.35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</row>
    <row r="251" spans="1:19" ht="21" customHeight="1" x14ac:dyDescent="0.35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</row>
    <row r="252" spans="1:19" ht="21" customHeight="1" x14ac:dyDescent="0.35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</row>
    <row r="253" spans="1:19" ht="21" customHeight="1" x14ac:dyDescent="0.35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</row>
    <row r="254" spans="1:19" ht="21" customHeight="1" x14ac:dyDescent="0.35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</row>
    <row r="255" spans="1:19" ht="21" customHeight="1" x14ac:dyDescent="0.3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</row>
    <row r="256" spans="1:19" ht="21" customHeight="1" x14ac:dyDescent="0.35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</row>
    <row r="257" spans="1:19" ht="21" customHeight="1" x14ac:dyDescent="0.35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</row>
    <row r="258" spans="1:19" ht="21" customHeight="1" x14ac:dyDescent="0.35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</row>
    <row r="259" spans="1:19" ht="21" customHeight="1" x14ac:dyDescent="0.35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</row>
    <row r="260" spans="1:19" ht="21" customHeight="1" x14ac:dyDescent="0.35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</row>
    <row r="261" spans="1:19" ht="21" customHeight="1" x14ac:dyDescent="0.35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</row>
    <row r="262" spans="1:19" ht="21" customHeight="1" x14ac:dyDescent="0.35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</row>
    <row r="263" spans="1:19" ht="21" customHeight="1" x14ac:dyDescent="0.35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</row>
    <row r="264" spans="1:19" ht="21" customHeight="1" x14ac:dyDescent="0.35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</row>
    <row r="265" spans="1:19" ht="21" customHeight="1" x14ac:dyDescent="0.3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</row>
    <row r="266" spans="1:19" ht="21" customHeight="1" x14ac:dyDescent="0.35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</row>
    <row r="267" spans="1:19" ht="21" customHeight="1" x14ac:dyDescent="0.35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</row>
    <row r="268" spans="1:19" ht="21" customHeight="1" x14ac:dyDescent="0.35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</row>
    <row r="269" spans="1:19" ht="21" customHeight="1" x14ac:dyDescent="0.35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</row>
    <row r="270" spans="1:19" ht="21" customHeight="1" x14ac:dyDescent="0.35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</row>
    <row r="271" spans="1:19" ht="21" customHeight="1" x14ac:dyDescent="0.35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</row>
    <row r="272" spans="1:19" ht="21" customHeight="1" x14ac:dyDescent="0.35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</row>
    <row r="273" spans="1:19" ht="21" customHeight="1" x14ac:dyDescent="0.35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</row>
    <row r="274" spans="1:19" ht="21" customHeight="1" x14ac:dyDescent="0.35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</row>
    <row r="275" spans="1:19" ht="21" customHeight="1" x14ac:dyDescent="0.3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</row>
    <row r="276" spans="1:19" ht="21" customHeight="1" x14ac:dyDescent="0.35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</row>
    <row r="277" spans="1:19" ht="21" customHeight="1" x14ac:dyDescent="0.35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</row>
    <row r="278" spans="1:19" ht="21" customHeight="1" x14ac:dyDescent="0.35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</row>
    <row r="279" spans="1:19" ht="21" customHeight="1" x14ac:dyDescent="0.35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</row>
    <row r="280" spans="1:19" ht="21" customHeight="1" x14ac:dyDescent="0.35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</row>
    <row r="281" spans="1:19" ht="21" customHeight="1" x14ac:dyDescent="0.35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</row>
    <row r="282" spans="1:19" ht="21" customHeight="1" x14ac:dyDescent="0.35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</row>
    <row r="283" spans="1:19" ht="21" customHeight="1" x14ac:dyDescent="0.35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</row>
    <row r="284" spans="1:19" ht="21" customHeight="1" x14ac:dyDescent="0.35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</row>
    <row r="285" spans="1:19" ht="21" customHeight="1" x14ac:dyDescent="0.3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</row>
    <row r="286" spans="1:19" ht="21" customHeight="1" x14ac:dyDescent="0.35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</row>
    <row r="287" spans="1:19" ht="21" customHeight="1" x14ac:dyDescent="0.35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</row>
    <row r="288" spans="1:19" ht="21" customHeight="1" x14ac:dyDescent="0.35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</row>
    <row r="289" spans="1:19" ht="21" customHeight="1" x14ac:dyDescent="0.35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</row>
    <row r="290" spans="1:19" ht="21" customHeight="1" x14ac:dyDescent="0.35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</row>
    <row r="291" spans="1:19" ht="21" customHeight="1" x14ac:dyDescent="0.35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</row>
    <row r="292" spans="1:19" ht="21" customHeight="1" x14ac:dyDescent="0.35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</row>
    <row r="293" spans="1:19" ht="21" customHeight="1" x14ac:dyDescent="0.35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</row>
    <row r="294" spans="1:19" ht="21" customHeight="1" x14ac:dyDescent="0.35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</row>
    <row r="295" spans="1:19" ht="21" customHeight="1" x14ac:dyDescent="0.3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</row>
    <row r="296" spans="1:19" ht="21" customHeight="1" x14ac:dyDescent="0.35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</row>
    <row r="297" spans="1:19" ht="21" customHeight="1" x14ac:dyDescent="0.35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</row>
    <row r="298" spans="1:19" ht="21" customHeight="1" x14ac:dyDescent="0.35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</row>
    <row r="299" spans="1:19" ht="21" customHeight="1" x14ac:dyDescent="0.35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</row>
    <row r="300" spans="1:19" ht="21" customHeight="1" x14ac:dyDescent="0.35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</row>
    <row r="301" spans="1:19" ht="21" customHeight="1" x14ac:dyDescent="0.35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</row>
    <row r="302" spans="1:19" ht="21" customHeight="1" x14ac:dyDescent="0.35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</row>
    <row r="303" spans="1:19" ht="21" customHeight="1" x14ac:dyDescent="0.35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</row>
    <row r="304" spans="1:19" ht="21" customHeight="1" x14ac:dyDescent="0.35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</row>
    <row r="305" spans="1:19" ht="21" customHeight="1" x14ac:dyDescent="0.3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</row>
    <row r="306" spans="1:19" ht="21" customHeight="1" x14ac:dyDescent="0.35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</row>
    <row r="307" spans="1:19" ht="21" customHeight="1" x14ac:dyDescent="0.35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</row>
    <row r="308" spans="1:19" ht="21" customHeight="1" x14ac:dyDescent="0.35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</row>
    <row r="309" spans="1:19" ht="21" customHeight="1" x14ac:dyDescent="0.35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</row>
    <row r="310" spans="1:19" ht="21" customHeight="1" x14ac:dyDescent="0.35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</row>
    <row r="311" spans="1:19" ht="21" customHeight="1" x14ac:dyDescent="0.35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</row>
    <row r="312" spans="1:19" ht="21" customHeight="1" x14ac:dyDescent="0.35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</row>
    <row r="313" spans="1:19" ht="21" customHeight="1" x14ac:dyDescent="0.35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</row>
    <row r="314" spans="1:19" ht="21" customHeight="1" x14ac:dyDescent="0.35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</row>
    <row r="315" spans="1:19" ht="21" customHeight="1" x14ac:dyDescent="0.3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</row>
    <row r="316" spans="1:19" ht="21" customHeight="1" x14ac:dyDescent="0.35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</row>
    <row r="317" spans="1:19" ht="21" customHeight="1" x14ac:dyDescent="0.35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</row>
    <row r="318" spans="1:19" ht="21" customHeight="1" x14ac:dyDescent="0.35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</row>
    <row r="319" spans="1:19" ht="21" customHeight="1" x14ac:dyDescent="0.35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</row>
    <row r="320" spans="1:19" ht="21" customHeight="1" x14ac:dyDescent="0.35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</row>
    <row r="321" spans="1:19" ht="21" customHeight="1" x14ac:dyDescent="0.35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</row>
    <row r="322" spans="1:19" ht="21" customHeight="1" x14ac:dyDescent="0.35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</row>
    <row r="323" spans="1:19" ht="21" customHeight="1" x14ac:dyDescent="0.35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</row>
    <row r="324" spans="1:19" ht="21" customHeight="1" x14ac:dyDescent="0.35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</row>
    <row r="325" spans="1:19" ht="21" customHeight="1" x14ac:dyDescent="0.3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</row>
    <row r="326" spans="1:19" ht="21" customHeight="1" x14ac:dyDescent="0.35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</row>
    <row r="327" spans="1:19" ht="21" customHeight="1" x14ac:dyDescent="0.35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</row>
    <row r="328" spans="1:19" ht="21" customHeight="1" x14ac:dyDescent="0.35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</row>
    <row r="329" spans="1:19" ht="21" customHeight="1" x14ac:dyDescent="0.35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</row>
    <row r="330" spans="1:19" ht="21" customHeight="1" x14ac:dyDescent="0.35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</row>
    <row r="331" spans="1:19" ht="21" customHeight="1" x14ac:dyDescent="0.35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</row>
    <row r="332" spans="1:19" ht="21" customHeight="1" x14ac:dyDescent="0.35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</row>
    <row r="333" spans="1:19" ht="21" customHeight="1" x14ac:dyDescent="0.35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</row>
    <row r="334" spans="1:19" ht="21" customHeight="1" x14ac:dyDescent="0.35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</row>
    <row r="335" spans="1:19" ht="21" customHeight="1" x14ac:dyDescent="0.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</row>
    <row r="336" spans="1:19" ht="21" customHeight="1" x14ac:dyDescent="0.35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</row>
    <row r="337" spans="1:19" ht="21" customHeight="1" x14ac:dyDescent="0.35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</row>
    <row r="338" spans="1:19" ht="21" customHeight="1" x14ac:dyDescent="0.35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</row>
    <row r="339" spans="1:19" ht="21" customHeight="1" x14ac:dyDescent="0.35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</row>
    <row r="340" spans="1:19" ht="21" customHeight="1" x14ac:dyDescent="0.35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</row>
    <row r="341" spans="1:19" ht="21" customHeight="1" x14ac:dyDescent="0.35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</row>
    <row r="342" spans="1:19" ht="21" customHeight="1" x14ac:dyDescent="0.35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</row>
    <row r="343" spans="1:19" ht="21" customHeight="1" x14ac:dyDescent="0.35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</row>
    <row r="344" spans="1:19" ht="21" customHeight="1" x14ac:dyDescent="0.35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</row>
    <row r="345" spans="1:19" ht="21" customHeight="1" x14ac:dyDescent="0.3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</row>
    <row r="346" spans="1:19" ht="21" customHeight="1" x14ac:dyDescent="0.35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</row>
    <row r="347" spans="1:19" ht="21" customHeight="1" x14ac:dyDescent="0.35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</row>
    <row r="348" spans="1:19" ht="21" customHeight="1" x14ac:dyDescent="0.35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</row>
    <row r="349" spans="1:19" ht="21" customHeight="1" x14ac:dyDescent="0.35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</row>
    <row r="350" spans="1:19" ht="21" customHeight="1" x14ac:dyDescent="0.35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</row>
    <row r="351" spans="1:19" ht="21" customHeight="1" x14ac:dyDescent="0.35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</row>
    <row r="352" spans="1:19" ht="21" customHeight="1" x14ac:dyDescent="0.35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</row>
    <row r="353" spans="1:19" ht="21" customHeight="1" x14ac:dyDescent="0.35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</row>
    <row r="354" spans="1:19" ht="21" customHeight="1" x14ac:dyDescent="0.35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</row>
    <row r="355" spans="1:19" ht="21" customHeight="1" x14ac:dyDescent="0.3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</row>
    <row r="356" spans="1:19" ht="21" customHeight="1" x14ac:dyDescent="0.35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</row>
    <row r="357" spans="1:19" ht="21" customHeight="1" x14ac:dyDescent="0.35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</row>
    <row r="358" spans="1:19" ht="21" customHeight="1" x14ac:dyDescent="0.35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</row>
    <row r="359" spans="1:19" ht="21" customHeight="1" x14ac:dyDescent="0.35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</row>
    <row r="360" spans="1:19" ht="21" customHeight="1" x14ac:dyDescent="0.35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</row>
    <row r="361" spans="1:19" ht="21" customHeight="1" x14ac:dyDescent="0.35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</row>
    <row r="362" spans="1:19" ht="21" customHeight="1" x14ac:dyDescent="0.35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</row>
    <row r="363" spans="1:19" ht="21" customHeight="1" x14ac:dyDescent="0.35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</row>
    <row r="364" spans="1:19" ht="21" customHeight="1" x14ac:dyDescent="0.35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</row>
    <row r="365" spans="1:19" ht="21" customHeight="1" x14ac:dyDescent="0.3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</row>
    <row r="366" spans="1:19" ht="21" customHeight="1" x14ac:dyDescent="0.35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</row>
    <row r="367" spans="1:19" ht="21" customHeight="1" x14ac:dyDescent="0.35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</row>
    <row r="368" spans="1:19" ht="21" customHeight="1" x14ac:dyDescent="0.35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</row>
    <row r="369" spans="1:19" ht="21" customHeight="1" x14ac:dyDescent="0.35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</row>
    <row r="370" spans="1:19" ht="21" customHeight="1" x14ac:dyDescent="0.35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</row>
    <row r="371" spans="1:19" ht="21" customHeight="1" x14ac:dyDescent="0.35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</row>
    <row r="372" spans="1:19" ht="21" customHeight="1" x14ac:dyDescent="0.35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</row>
    <row r="373" spans="1:19" ht="21" customHeight="1" x14ac:dyDescent="0.35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</row>
    <row r="374" spans="1:19" ht="21" customHeight="1" x14ac:dyDescent="0.35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</row>
    <row r="375" spans="1:19" ht="21" customHeight="1" x14ac:dyDescent="0.3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</row>
    <row r="376" spans="1:19" ht="21" customHeight="1" x14ac:dyDescent="0.35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</row>
    <row r="377" spans="1:19" ht="21" customHeight="1" x14ac:dyDescent="0.35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</row>
    <row r="378" spans="1:19" ht="21" customHeight="1" x14ac:dyDescent="0.35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</row>
    <row r="379" spans="1:19" ht="21" customHeight="1" x14ac:dyDescent="0.35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</row>
    <row r="380" spans="1:19" ht="21" customHeight="1" x14ac:dyDescent="0.35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</row>
    <row r="381" spans="1:19" ht="21" customHeight="1" x14ac:dyDescent="0.35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</row>
    <row r="382" spans="1:19" ht="21" customHeight="1" x14ac:dyDescent="0.35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</row>
    <row r="383" spans="1:19" ht="21" customHeight="1" x14ac:dyDescent="0.35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</row>
    <row r="384" spans="1:19" ht="21" customHeight="1" x14ac:dyDescent="0.35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</row>
    <row r="385" spans="1:19" ht="21" customHeight="1" x14ac:dyDescent="0.3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</row>
    <row r="386" spans="1:19" ht="21" customHeight="1" x14ac:dyDescent="0.35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</row>
    <row r="387" spans="1:19" ht="21" customHeight="1" x14ac:dyDescent="0.35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</row>
    <row r="388" spans="1:19" ht="21" customHeight="1" x14ac:dyDescent="0.35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</row>
    <row r="389" spans="1:19" ht="21" customHeight="1" x14ac:dyDescent="0.35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</row>
    <row r="390" spans="1:19" ht="21" customHeight="1" x14ac:dyDescent="0.35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</row>
    <row r="391" spans="1:19" ht="21" customHeight="1" x14ac:dyDescent="0.35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</row>
    <row r="392" spans="1:19" ht="21" customHeight="1" x14ac:dyDescent="0.35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</row>
    <row r="393" spans="1:19" ht="21" customHeight="1" x14ac:dyDescent="0.35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</row>
    <row r="394" spans="1:19" ht="21" customHeight="1" x14ac:dyDescent="0.35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</row>
    <row r="395" spans="1:19" ht="21" customHeight="1" x14ac:dyDescent="0.3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</row>
    <row r="396" spans="1:19" ht="21" customHeight="1" x14ac:dyDescent="0.35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</row>
    <row r="397" spans="1:19" ht="21" customHeight="1" x14ac:dyDescent="0.35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</row>
    <row r="398" spans="1:19" ht="21" customHeight="1" x14ac:dyDescent="0.35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</row>
    <row r="399" spans="1:19" ht="21" customHeight="1" x14ac:dyDescent="0.35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</row>
    <row r="400" spans="1:19" ht="21" customHeight="1" x14ac:dyDescent="0.35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</row>
    <row r="401" spans="1:19" ht="21" customHeight="1" x14ac:dyDescent="0.35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</row>
    <row r="402" spans="1:19" ht="21" customHeight="1" x14ac:dyDescent="0.35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</row>
    <row r="403" spans="1:19" ht="21" customHeight="1" x14ac:dyDescent="0.35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</row>
    <row r="404" spans="1:19" ht="21" customHeight="1" x14ac:dyDescent="0.35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</row>
    <row r="405" spans="1:19" ht="21" customHeight="1" x14ac:dyDescent="0.3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</row>
    <row r="406" spans="1:19" ht="21" customHeight="1" x14ac:dyDescent="0.35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</row>
    <row r="407" spans="1:19" ht="21" customHeight="1" x14ac:dyDescent="0.35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</row>
    <row r="408" spans="1:19" ht="21" customHeight="1" x14ac:dyDescent="0.35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</row>
    <row r="409" spans="1:19" ht="21" customHeight="1" x14ac:dyDescent="0.35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</row>
    <row r="410" spans="1:19" ht="21" customHeight="1" x14ac:dyDescent="0.35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</row>
    <row r="411" spans="1:19" ht="21" customHeight="1" x14ac:dyDescent="0.35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</row>
    <row r="412" spans="1:19" ht="21" customHeight="1" x14ac:dyDescent="0.35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</row>
    <row r="413" spans="1:19" ht="21" customHeight="1" x14ac:dyDescent="0.35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</row>
    <row r="414" spans="1:19" ht="21" customHeight="1" x14ac:dyDescent="0.35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</row>
    <row r="415" spans="1:19" ht="21" customHeight="1" x14ac:dyDescent="0.3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</row>
    <row r="416" spans="1:19" ht="21" customHeight="1" x14ac:dyDescent="0.35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</row>
    <row r="417" spans="1:19" ht="21" customHeight="1" x14ac:dyDescent="0.35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</row>
    <row r="418" spans="1:19" ht="21" customHeight="1" x14ac:dyDescent="0.35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</row>
    <row r="419" spans="1:19" ht="21" customHeight="1" x14ac:dyDescent="0.35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</row>
    <row r="420" spans="1:19" ht="21" customHeight="1" x14ac:dyDescent="0.35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</row>
    <row r="421" spans="1:19" ht="21" customHeight="1" x14ac:dyDescent="0.35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</row>
    <row r="422" spans="1:19" ht="21" customHeight="1" x14ac:dyDescent="0.35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</row>
    <row r="423" spans="1:19" ht="21" customHeight="1" x14ac:dyDescent="0.35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</row>
    <row r="424" spans="1:19" ht="21" customHeight="1" x14ac:dyDescent="0.35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</row>
    <row r="425" spans="1:19" ht="21" customHeight="1" x14ac:dyDescent="0.3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</row>
    <row r="426" spans="1:19" ht="21" customHeight="1" x14ac:dyDescent="0.35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</row>
    <row r="427" spans="1:19" ht="21" customHeight="1" x14ac:dyDescent="0.35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</row>
    <row r="428" spans="1:19" ht="21" customHeight="1" x14ac:dyDescent="0.35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</row>
    <row r="429" spans="1:19" ht="21" customHeight="1" x14ac:dyDescent="0.35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</row>
    <row r="430" spans="1:19" ht="21" customHeight="1" x14ac:dyDescent="0.35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</row>
    <row r="431" spans="1:19" ht="21" customHeight="1" x14ac:dyDescent="0.35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</row>
    <row r="432" spans="1:19" ht="21" customHeight="1" x14ac:dyDescent="0.35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</row>
    <row r="433" spans="1:19" ht="21" customHeight="1" x14ac:dyDescent="0.35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</row>
    <row r="434" spans="1:19" ht="21" customHeight="1" x14ac:dyDescent="0.35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</row>
    <row r="435" spans="1:19" ht="21" customHeight="1" x14ac:dyDescent="0.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</row>
    <row r="436" spans="1:19" ht="21" customHeight="1" x14ac:dyDescent="0.35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</row>
    <row r="437" spans="1:19" ht="21" customHeight="1" x14ac:dyDescent="0.35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</row>
    <row r="438" spans="1:19" ht="21" customHeight="1" x14ac:dyDescent="0.35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</row>
    <row r="439" spans="1:19" ht="21" customHeight="1" x14ac:dyDescent="0.35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</row>
    <row r="440" spans="1:19" ht="21" customHeight="1" x14ac:dyDescent="0.35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</row>
    <row r="441" spans="1:19" ht="21" customHeight="1" x14ac:dyDescent="0.35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</row>
    <row r="442" spans="1:19" ht="21" customHeight="1" x14ac:dyDescent="0.35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</row>
    <row r="443" spans="1:19" ht="21" customHeight="1" x14ac:dyDescent="0.35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</row>
    <row r="444" spans="1:19" ht="21" customHeight="1" x14ac:dyDescent="0.35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</row>
    <row r="445" spans="1:19" ht="21" customHeight="1" x14ac:dyDescent="0.3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</row>
    <row r="446" spans="1:19" ht="21" customHeight="1" x14ac:dyDescent="0.35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</row>
    <row r="447" spans="1:19" ht="21" customHeight="1" x14ac:dyDescent="0.35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</row>
    <row r="448" spans="1:19" ht="21" customHeight="1" x14ac:dyDescent="0.35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</row>
    <row r="449" spans="1:19" ht="21" customHeight="1" x14ac:dyDescent="0.35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</row>
    <row r="450" spans="1:19" ht="21" customHeight="1" x14ac:dyDescent="0.35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</row>
    <row r="451" spans="1:19" ht="21" customHeight="1" x14ac:dyDescent="0.35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</row>
    <row r="452" spans="1:19" ht="21" customHeight="1" x14ac:dyDescent="0.35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</row>
    <row r="453" spans="1:19" ht="21" customHeight="1" x14ac:dyDescent="0.35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</row>
    <row r="454" spans="1:19" ht="21" customHeight="1" x14ac:dyDescent="0.35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</row>
    <row r="455" spans="1:19" ht="21" customHeight="1" x14ac:dyDescent="0.3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</row>
    <row r="456" spans="1:19" ht="21" customHeight="1" x14ac:dyDescent="0.35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</row>
    <row r="457" spans="1:19" ht="21" customHeight="1" x14ac:dyDescent="0.35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</row>
    <row r="458" spans="1:19" ht="21" customHeight="1" x14ac:dyDescent="0.35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</row>
    <row r="459" spans="1:19" ht="21" customHeight="1" x14ac:dyDescent="0.35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</row>
    <row r="460" spans="1:19" ht="21" customHeight="1" x14ac:dyDescent="0.35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</row>
    <row r="461" spans="1:19" ht="21" customHeight="1" x14ac:dyDescent="0.35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</row>
    <row r="462" spans="1:19" ht="21" customHeight="1" x14ac:dyDescent="0.35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</row>
    <row r="463" spans="1:19" ht="21" customHeight="1" x14ac:dyDescent="0.35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</row>
    <row r="464" spans="1:19" ht="21" customHeight="1" x14ac:dyDescent="0.35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</row>
    <row r="465" spans="1:19" ht="21" customHeight="1" x14ac:dyDescent="0.3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</row>
    <row r="466" spans="1:19" ht="21" customHeight="1" x14ac:dyDescent="0.35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</row>
    <row r="467" spans="1:19" ht="21" customHeight="1" x14ac:dyDescent="0.35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</row>
    <row r="468" spans="1:19" ht="21" customHeight="1" x14ac:dyDescent="0.35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</row>
    <row r="469" spans="1:19" ht="21" customHeight="1" x14ac:dyDescent="0.35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</row>
    <row r="470" spans="1:19" ht="21" customHeight="1" x14ac:dyDescent="0.35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</row>
    <row r="471" spans="1:19" ht="21" customHeight="1" x14ac:dyDescent="0.35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</row>
    <row r="472" spans="1:19" ht="21" customHeight="1" x14ac:dyDescent="0.35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</row>
    <row r="473" spans="1:19" ht="21" customHeight="1" x14ac:dyDescent="0.35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</row>
    <row r="474" spans="1:19" ht="21" customHeight="1" x14ac:dyDescent="0.35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</row>
    <row r="475" spans="1:19" ht="21" customHeight="1" x14ac:dyDescent="0.3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</row>
    <row r="476" spans="1:19" ht="21" customHeight="1" x14ac:dyDescent="0.35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</row>
    <row r="477" spans="1:19" ht="21" customHeight="1" x14ac:dyDescent="0.35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</row>
    <row r="478" spans="1:19" ht="21" customHeight="1" x14ac:dyDescent="0.35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</row>
    <row r="479" spans="1:19" ht="21" customHeight="1" x14ac:dyDescent="0.35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</row>
    <row r="480" spans="1:19" ht="21" customHeight="1" x14ac:dyDescent="0.35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</row>
    <row r="481" spans="1:19" ht="21" customHeight="1" x14ac:dyDescent="0.35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</row>
    <row r="482" spans="1:19" ht="21" customHeight="1" x14ac:dyDescent="0.35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</row>
    <row r="483" spans="1:19" ht="21" customHeight="1" x14ac:dyDescent="0.35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</row>
    <row r="484" spans="1:19" ht="21" customHeight="1" x14ac:dyDescent="0.35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</row>
    <row r="485" spans="1:19" ht="21" customHeight="1" x14ac:dyDescent="0.3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</row>
    <row r="486" spans="1:19" ht="21" customHeight="1" x14ac:dyDescent="0.35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</row>
    <row r="487" spans="1:19" ht="21" customHeight="1" x14ac:dyDescent="0.35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</row>
    <row r="488" spans="1:19" ht="21" customHeight="1" x14ac:dyDescent="0.35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</row>
    <row r="489" spans="1:19" ht="21" customHeight="1" x14ac:dyDescent="0.35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</row>
    <row r="490" spans="1:19" ht="21" customHeight="1" x14ac:dyDescent="0.35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</row>
    <row r="491" spans="1:19" ht="21" customHeight="1" x14ac:dyDescent="0.35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</row>
    <row r="492" spans="1:19" ht="21" customHeight="1" x14ac:dyDescent="0.35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</row>
    <row r="493" spans="1:19" ht="21" customHeight="1" x14ac:dyDescent="0.35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</row>
    <row r="494" spans="1:19" ht="21" customHeight="1" x14ac:dyDescent="0.35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</row>
    <row r="495" spans="1:19" ht="21" customHeight="1" x14ac:dyDescent="0.3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</row>
    <row r="496" spans="1:19" ht="21" customHeight="1" x14ac:dyDescent="0.35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</row>
    <row r="497" spans="1:19" ht="21" customHeight="1" x14ac:dyDescent="0.35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</row>
    <row r="498" spans="1:19" ht="21" customHeight="1" x14ac:dyDescent="0.35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</row>
    <row r="499" spans="1:19" ht="21" customHeight="1" x14ac:dyDescent="0.35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</row>
    <row r="500" spans="1:19" ht="21" customHeight="1" x14ac:dyDescent="0.35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</row>
    <row r="501" spans="1:19" ht="21" customHeight="1" x14ac:dyDescent="0.35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</row>
    <row r="502" spans="1:19" ht="21" customHeight="1" x14ac:dyDescent="0.35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</row>
    <row r="503" spans="1:19" ht="21" customHeight="1" x14ac:dyDescent="0.35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</row>
    <row r="504" spans="1:19" ht="21" customHeight="1" x14ac:dyDescent="0.35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</row>
    <row r="505" spans="1:19" ht="21" customHeight="1" x14ac:dyDescent="0.3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</row>
    <row r="506" spans="1:19" ht="21" customHeight="1" x14ac:dyDescent="0.35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</row>
    <row r="507" spans="1:19" ht="21" customHeight="1" x14ac:dyDescent="0.35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</row>
    <row r="508" spans="1:19" ht="21" customHeight="1" x14ac:dyDescent="0.35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</row>
    <row r="509" spans="1:19" ht="21" customHeight="1" x14ac:dyDescent="0.35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</row>
    <row r="510" spans="1:19" ht="21" customHeight="1" x14ac:dyDescent="0.35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</row>
    <row r="511" spans="1:19" ht="21" customHeight="1" x14ac:dyDescent="0.35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</row>
    <row r="512" spans="1:19" ht="21" customHeight="1" x14ac:dyDescent="0.35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</row>
    <row r="513" spans="1:19" ht="21" customHeight="1" x14ac:dyDescent="0.35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</row>
    <row r="514" spans="1:19" ht="21" customHeight="1" x14ac:dyDescent="0.35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</row>
    <row r="515" spans="1:19" ht="21" customHeight="1" x14ac:dyDescent="0.3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</row>
    <row r="516" spans="1:19" ht="21" customHeight="1" x14ac:dyDescent="0.35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</row>
    <row r="517" spans="1:19" ht="21" customHeight="1" x14ac:dyDescent="0.35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</row>
    <row r="518" spans="1:19" ht="21" customHeight="1" x14ac:dyDescent="0.35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</row>
    <row r="519" spans="1:19" ht="21" customHeight="1" x14ac:dyDescent="0.35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</row>
    <row r="520" spans="1:19" ht="21" customHeight="1" x14ac:dyDescent="0.35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</row>
    <row r="521" spans="1:19" ht="21" customHeight="1" x14ac:dyDescent="0.35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</row>
    <row r="522" spans="1:19" ht="21" customHeight="1" x14ac:dyDescent="0.35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</row>
    <row r="523" spans="1:19" ht="21" customHeight="1" x14ac:dyDescent="0.35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</row>
    <row r="524" spans="1:19" ht="21" customHeight="1" x14ac:dyDescent="0.35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</row>
    <row r="525" spans="1:19" ht="21" customHeight="1" x14ac:dyDescent="0.3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</row>
    <row r="526" spans="1:19" ht="21" customHeight="1" x14ac:dyDescent="0.35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</row>
    <row r="527" spans="1:19" ht="21" customHeight="1" x14ac:dyDescent="0.35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</row>
    <row r="528" spans="1:19" ht="21" customHeight="1" x14ac:dyDescent="0.35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</row>
    <row r="529" spans="1:19" ht="21" customHeight="1" x14ac:dyDescent="0.35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</row>
    <row r="530" spans="1:19" ht="21" customHeight="1" x14ac:dyDescent="0.35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</row>
    <row r="531" spans="1:19" ht="21" customHeight="1" x14ac:dyDescent="0.35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</row>
    <row r="532" spans="1:19" ht="21" customHeight="1" x14ac:dyDescent="0.35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</row>
    <row r="533" spans="1:19" ht="21" customHeight="1" x14ac:dyDescent="0.35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</row>
    <row r="534" spans="1:19" ht="21" customHeight="1" x14ac:dyDescent="0.35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</row>
    <row r="535" spans="1:19" ht="21" customHeight="1" x14ac:dyDescent="0.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</row>
    <row r="536" spans="1:19" ht="21" customHeight="1" x14ac:dyDescent="0.35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</row>
    <row r="537" spans="1:19" ht="21" customHeight="1" x14ac:dyDescent="0.35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</row>
    <row r="538" spans="1:19" ht="21" customHeight="1" x14ac:dyDescent="0.35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</row>
    <row r="539" spans="1:19" ht="21" customHeight="1" x14ac:dyDescent="0.35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</row>
    <row r="540" spans="1:19" ht="21" customHeight="1" x14ac:dyDescent="0.35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</row>
    <row r="541" spans="1:19" ht="21" customHeight="1" x14ac:dyDescent="0.35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</row>
    <row r="542" spans="1:19" ht="21" customHeight="1" x14ac:dyDescent="0.35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</row>
    <row r="543" spans="1:19" ht="21" customHeight="1" x14ac:dyDescent="0.35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</row>
    <row r="544" spans="1:19" ht="21" customHeight="1" x14ac:dyDescent="0.35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</row>
    <row r="545" spans="1:19" ht="21" customHeight="1" x14ac:dyDescent="0.3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</row>
    <row r="546" spans="1:19" ht="21" customHeight="1" x14ac:dyDescent="0.35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</row>
    <row r="547" spans="1:19" ht="21" customHeight="1" x14ac:dyDescent="0.35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</row>
    <row r="548" spans="1:19" ht="21" customHeight="1" x14ac:dyDescent="0.35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</row>
    <row r="549" spans="1:19" ht="21" customHeight="1" x14ac:dyDescent="0.35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</row>
    <row r="550" spans="1:19" ht="21" customHeight="1" x14ac:dyDescent="0.35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</row>
    <row r="551" spans="1:19" ht="21" customHeight="1" x14ac:dyDescent="0.35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</row>
    <row r="552" spans="1:19" ht="21" customHeight="1" x14ac:dyDescent="0.35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</row>
    <row r="553" spans="1:19" ht="21" customHeight="1" x14ac:dyDescent="0.35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</row>
    <row r="554" spans="1:19" ht="21" customHeight="1" x14ac:dyDescent="0.35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</row>
    <row r="555" spans="1:19" ht="21" customHeight="1" x14ac:dyDescent="0.3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</row>
    <row r="556" spans="1:19" ht="21" customHeight="1" x14ac:dyDescent="0.35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</row>
    <row r="557" spans="1:19" ht="21" customHeight="1" x14ac:dyDescent="0.35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</row>
    <row r="558" spans="1:19" ht="21" customHeight="1" x14ac:dyDescent="0.35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</row>
    <row r="559" spans="1:19" ht="21" customHeight="1" x14ac:dyDescent="0.35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</row>
    <row r="560" spans="1:19" ht="21" customHeight="1" x14ac:dyDescent="0.35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</row>
    <row r="561" spans="1:19" ht="21" customHeight="1" x14ac:dyDescent="0.35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</row>
    <row r="562" spans="1:19" ht="21" customHeight="1" x14ac:dyDescent="0.35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</row>
    <row r="563" spans="1:19" ht="21" customHeight="1" x14ac:dyDescent="0.35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</row>
    <row r="564" spans="1:19" ht="21" customHeight="1" x14ac:dyDescent="0.35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</row>
    <row r="565" spans="1:19" ht="21" customHeight="1" x14ac:dyDescent="0.3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</row>
    <row r="566" spans="1:19" ht="21" customHeight="1" x14ac:dyDescent="0.35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</row>
    <row r="567" spans="1:19" ht="21" customHeight="1" x14ac:dyDescent="0.35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</row>
    <row r="568" spans="1:19" ht="21" customHeight="1" x14ac:dyDescent="0.35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</row>
    <row r="569" spans="1:19" ht="21" customHeight="1" x14ac:dyDescent="0.35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</row>
    <row r="570" spans="1:19" ht="21" customHeight="1" x14ac:dyDescent="0.35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</row>
    <row r="571" spans="1:19" ht="21" customHeight="1" x14ac:dyDescent="0.35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</row>
    <row r="572" spans="1:19" ht="21" customHeight="1" x14ac:dyDescent="0.35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</row>
    <row r="573" spans="1:19" ht="21" customHeight="1" x14ac:dyDescent="0.35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</row>
    <row r="574" spans="1:19" ht="21" customHeight="1" x14ac:dyDescent="0.35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</row>
    <row r="575" spans="1:19" ht="21" customHeight="1" x14ac:dyDescent="0.3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</row>
    <row r="576" spans="1:19" ht="21" customHeight="1" x14ac:dyDescent="0.35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</row>
    <row r="577" spans="1:19" ht="21" customHeight="1" x14ac:dyDescent="0.35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</row>
    <row r="578" spans="1:19" ht="21" customHeight="1" x14ac:dyDescent="0.35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</row>
    <row r="579" spans="1:19" ht="21" customHeight="1" x14ac:dyDescent="0.35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</row>
    <row r="580" spans="1:19" ht="21" customHeight="1" x14ac:dyDescent="0.35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</row>
    <row r="581" spans="1:19" ht="21" customHeight="1" x14ac:dyDescent="0.35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</row>
    <row r="582" spans="1:19" ht="21" customHeight="1" x14ac:dyDescent="0.35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</row>
    <row r="583" spans="1:19" ht="21" customHeight="1" x14ac:dyDescent="0.35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</row>
    <row r="584" spans="1:19" ht="21" customHeight="1" x14ac:dyDescent="0.35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</row>
    <row r="585" spans="1:19" ht="21" customHeight="1" x14ac:dyDescent="0.3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</row>
    <row r="586" spans="1:19" ht="21" customHeight="1" x14ac:dyDescent="0.35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</row>
    <row r="587" spans="1:19" ht="21" customHeight="1" x14ac:dyDescent="0.35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</row>
    <row r="588" spans="1:19" ht="21" customHeight="1" x14ac:dyDescent="0.35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</row>
    <row r="589" spans="1:19" ht="21" customHeight="1" x14ac:dyDescent="0.35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</row>
    <row r="590" spans="1:19" ht="21" customHeight="1" x14ac:dyDescent="0.35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</row>
    <row r="591" spans="1:19" ht="21" customHeight="1" x14ac:dyDescent="0.35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</row>
    <row r="592" spans="1:19" ht="21" customHeight="1" x14ac:dyDescent="0.35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</row>
    <row r="593" spans="1:19" ht="21" customHeight="1" x14ac:dyDescent="0.35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</row>
    <row r="594" spans="1:19" ht="21" customHeight="1" x14ac:dyDescent="0.35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</row>
    <row r="595" spans="1:19" ht="21" customHeight="1" x14ac:dyDescent="0.3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</row>
    <row r="596" spans="1:19" ht="21" customHeight="1" x14ac:dyDescent="0.35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</row>
    <row r="597" spans="1:19" ht="21" customHeight="1" x14ac:dyDescent="0.35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</row>
    <row r="598" spans="1:19" ht="21" customHeight="1" x14ac:dyDescent="0.35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</row>
    <row r="599" spans="1:19" ht="21" customHeight="1" x14ac:dyDescent="0.35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</row>
    <row r="600" spans="1:19" ht="21" customHeight="1" x14ac:dyDescent="0.35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</row>
    <row r="601" spans="1:19" ht="21" customHeight="1" x14ac:dyDescent="0.35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</row>
    <row r="602" spans="1:19" ht="21" customHeight="1" x14ac:dyDescent="0.35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</row>
    <row r="603" spans="1:19" ht="21" customHeight="1" x14ac:dyDescent="0.35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</row>
    <row r="604" spans="1:19" ht="21" customHeight="1" x14ac:dyDescent="0.35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</row>
    <row r="605" spans="1:19" ht="21" customHeight="1" x14ac:dyDescent="0.3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</row>
    <row r="606" spans="1:19" ht="21" customHeight="1" x14ac:dyDescent="0.35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</row>
    <row r="607" spans="1:19" ht="21" customHeight="1" x14ac:dyDescent="0.35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</row>
    <row r="608" spans="1:19" ht="21" customHeight="1" x14ac:dyDescent="0.35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</row>
    <row r="609" spans="1:19" ht="21" customHeight="1" x14ac:dyDescent="0.35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</row>
    <row r="610" spans="1:19" ht="21" customHeight="1" x14ac:dyDescent="0.35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</row>
    <row r="611" spans="1:19" ht="21" customHeight="1" x14ac:dyDescent="0.35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</row>
    <row r="612" spans="1:19" ht="21" customHeight="1" x14ac:dyDescent="0.35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</row>
    <row r="613" spans="1:19" ht="21" customHeight="1" x14ac:dyDescent="0.35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</row>
    <row r="614" spans="1:19" ht="21" customHeight="1" x14ac:dyDescent="0.35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</row>
    <row r="615" spans="1:19" ht="21" customHeight="1" x14ac:dyDescent="0.3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</row>
    <row r="616" spans="1:19" ht="21" customHeight="1" x14ac:dyDescent="0.35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</row>
    <row r="617" spans="1:19" ht="21" customHeight="1" x14ac:dyDescent="0.35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</row>
    <row r="618" spans="1:19" ht="21" customHeight="1" x14ac:dyDescent="0.35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</row>
    <row r="619" spans="1:19" ht="21" customHeight="1" x14ac:dyDescent="0.35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</row>
    <row r="620" spans="1:19" ht="21" customHeight="1" x14ac:dyDescent="0.35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</row>
    <row r="621" spans="1:19" ht="21" customHeight="1" x14ac:dyDescent="0.35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</row>
    <row r="622" spans="1:19" ht="21" customHeight="1" x14ac:dyDescent="0.35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</row>
    <row r="623" spans="1:19" ht="21" customHeight="1" x14ac:dyDescent="0.35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</row>
    <row r="624" spans="1:19" ht="21" customHeight="1" x14ac:dyDescent="0.35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</row>
    <row r="625" spans="1:19" ht="21" customHeight="1" x14ac:dyDescent="0.3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</row>
    <row r="626" spans="1:19" ht="21" customHeight="1" x14ac:dyDescent="0.35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</row>
    <row r="627" spans="1:19" ht="21" customHeight="1" x14ac:dyDescent="0.35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</row>
    <row r="628" spans="1:19" ht="21" customHeight="1" x14ac:dyDescent="0.35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</row>
    <row r="629" spans="1:19" ht="21" customHeight="1" x14ac:dyDescent="0.35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</row>
    <row r="630" spans="1:19" ht="21" customHeight="1" x14ac:dyDescent="0.35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</row>
    <row r="631" spans="1:19" ht="21" customHeight="1" x14ac:dyDescent="0.35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</row>
    <row r="632" spans="1:19" ht="21" customHeight="1" x14ac:dyDescent="0.35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</row>
    <row r="633" spans="1:19" ht="21" customHeight="1" x14ac:dyDescent="0.35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</row>
    <row r="634" spans="1:19" ht="21" customHeight="1" x14ac:dyDescent="0.35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</row>
    <row r="635" spans="1:19" ht="21" customHeight="1" x14ac:dyDescent="0.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</row>
    <row r="636" spans="1:19" ht="21" customHeight="1" x14ac:dyDescent="0.35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</row>
    <row r="637" spans="1:19" ht="21" customHeight="1" x14ac:dyDescent="0.35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</row>
    <row r="638" spans="1:19" ht="21" customHeight="1" x14ac:dyDescent="0.35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</row>
    <row r="639" spans="1:19" ht="21" customHeight="1" x14ac:dyDescent="0.35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</row>
    <row r="640" spans="1:19" ht="21" customHeight="1" x14ac:dyDescent="0.35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</row>
    <row r="641" spans="1:19" ht="21" customHeight="1" x14ac:dyDescent="0.35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</row>
    <row r="642" spans="1:19" ht="21" customHeight="1" x14ac:dyDescent="0.35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</row>
    <row r="643" spans="1:19" ht="21" customHeight="1" x14ac:dyDescent="0.35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</row>
    <row r="644" spans="1:19" ht="21" customHeight="1" x14ac:dyDescent="0.35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</row>
    <row r="645" spans="1:19" ht="21" customHeight="1" x14ac:dyDescent="0.3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</row>
    <row r="646" spans="1:19" ht="21" customHeight="1" x14ac:dyDescent="0.35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</row>
    <row r="647" spans="1:19" ht="21" customHeight="1" x14ac:dyDescent="0.35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</row>
    <row r="648" spans="1:19" ht="21" customHeight="1" x14ac:dyDescent="0.35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</row>
    <row r="649" spans="1:19" ht="21" customHeight="1" x14ac:dyDescent="0.35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</row>
    <row r="650" spans="1:19" ht="21" customHeight="1" x14ac:dyDescent="0.35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</row>
    <row r="651" spans="1:19" ht="21" customHeight="1" x14ac:dyDescent="0.35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</row>
    <row r="652" spans="1:19" ht="21" customHeight="1" x14ac:dyDescent="0.35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</row>
    <row r="653" spans="1:19" ht="21" customHeight="1" x14ac:dyDescent="0.35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</row>
    <row r="654" spans="1:19" ht="21" customHeight="1" x14ac:dyDescent="0.35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</row>
    <row r="655" spans="1:19" ht="21" customHeight="1" x14ac:dyDescent="0.3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</row>
    <row r="656" spans="1:19" ht="21" customHeight="1" x14ac:dyDescent="0.35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</row>
    <row r="657" spans="1:19" ht="21" customHeight="1" x14ac:dyDescent="0.35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</row>
    <row r="658" spans="1:19" ht="21" customHeight="1" x14ac:dyDescent="0.35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</row>
    <row r="659" spans="1:19" ht="21" customHeight="1" x14ac:dyDescent="0.35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</row>
    <row r="660" spans="1:19" ht="21" customHeight="1" x14ac:dyDescent="0.35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</row>
    <row r="661" spans="1:19" ht="21" customHeight="1" x14ac:dyDescent="0.35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</row>
    <row r="662" spans="1:19" ht="21" customHeight="1" x14ac:dyDescent="0.35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</row>
    <row r="663" spans="1:19" ht="21" customHeight="1" x14ac:dyDescent="0.35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</row>
    <row r="664" spans="1:19" ht="21" customHeight="1" x14ac:dyDescent="0.35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</row>
    <row r="665" spans="1:19" ht="21" customHeight="1" x14ac:dyDescent="0.3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</row>
    <row r="666" spans="1:19" ht="21" customHeight="1" x14ac:dyDescent="0.35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</row>
    <row r="667" spans="1:19" ht="21" customHeight="1" x14ac:dyDescent="0.35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</row>
    <row r="668" spans="1:19" ht="21" customHeight="1" x14ac:dyDescent="0.35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</row>
    <row r="669" spans="1:19" ht="21" customHeight="1" x14ac:dyDescent="0.35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</row>
    <row r="670" spans="1:19" ht="21" customHeight="1" x14ac:dyDescent="0.35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</row>
    <row r="671" spans="1:19" ht="21" customHeight="1" x14ac:dyDescent="0.35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</row>
    <row r="672" spans="1:19" ht="21" customHeight="1" x14ac:dyDescent="0.35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</row>
    <row r="673" spans="1:19" ht="21" customHeight="1" x14ac:dyDescent="0.35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</row>
    <row r="674" spans="1:19" ht="21" customHeight="1" x14ac:dyDescent="0.35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</row>
    <row r="675" spans="1:19" ht="21" customHeight="1" x14ac:dyDescent="0.3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</row>
    <row r="676" spans="1:19" ht="21" customHeight="1" x14ac:dyDescent="0.35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</row>
    <row r="677" spans="1:19" ht="21" customHeight="1" x14ac:dyDescent="0.35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</row>
    <row r="678" spans="1:19" ht="21" customHeight="1" x14ac:dyDescent="0.35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</row>
    <row r="679" spans="1:19" ht="21" customHeight="1" x14ac:dyDescent="0.35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</row>
    <row r="680" spans="1:19" ht="21" customHeight="1" x14ac:dyDescent="0.35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</row>
    <row r="681" spans="1:19" ht="21" customHeight="1" x14ac:dyDescent="0.35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</row>
    <row r="682" spans="1:19" ht="21" customHeight="1" x14ac:dyDescent="0.35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</row>
    <row r="683" spans="1:19" ht="21" customHeight="1" x14ac:dyDescent="0.35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</row>
    <row r="684" spans="1:19" ht="21" customHeight="1" x14ac:dyDescent="0.35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</row>
    <row r="685" spans="1:19" ht="21" customHeight="1" x14ac:dyDescent="0.3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</row>
    <row r="686" spans="1:19" ht="21" customHeight="1" x14ac:dyDescent="0.35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</row>
    <row r="687" spans="1:19" ht="21" customHeight="1" x14ac:dyDescent="0.35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</row>
    <row r="688" spans="1:19" ht="21" customHeight="1" x14ac:dyDescent="0.35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</row>
    <row r="689" spans="1:19" ht="21" customHeight="1" x14ac:dyDescent="0.35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</row>
    <row r="690" spans="1:19" ht="21" customHeight="1" x14ac:dyDescent="0.35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</row>
    <row r="691" spans="1:19" ht="21" customHeight="1" x14ac:dyDescent="0.35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</row>
    <row r="692" spans="1:19" ht="21" customHeight="1" x14ac:dyDescent="0.35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</row>
    <row r="693" spans="1:19" ht="21" customHeight="1" x14ac:dyDescent="0.35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</row>
    <row r="694" spans="1:19" ht="21" customHeight="1" x14ac:dyDescent="0.35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</row>
    <row r="695" spans="1:19" ht="21" customHeight="1" x14ac:dyDescent="0.3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</row>
    <row r="696" spans="1:19" ht="21" customHeight="1" x14ac:dyDescent="0.35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</row>
    <row r="697" spans="1:19" ht="21" customHeight="1" x14ac:dyDescent="0.35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</row>
    <row r="698" spans="1:19" ht="21" customHeight="1" x14ac:dyDescent="0.35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</row>
    <row r="699" spans="1:19" ht="21" customHeight="1" x14ac:dyDescent="0.35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</row>
    <row r="700" spans="1:19" ht="21" customHeight="1" x14ac:dyDescent="0.35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</row>
    <row r="701" spans="1:19" ht="21" customHeight="1" x14ac:dyDescent="0.35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</row>
    <row r="702" spans="1:19" ht="21" customHeight="1" x14ac:dyDescent="0.35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</row>
    <row r="703" spans="1:19" ht="21" customHeight="1" x14ac:dyDescent="0.35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</row>
    <row r="704" spans="1:19" ht="21" customHeight="1" x14ac:dyDescent="0.35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</row>
    <row r="705" spans="1:19" ht="21" customHeight="1" x14ac:dyDescent="0.3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</row>
    <row r="706" spans="1:19" ht="21" customHeight="1" x14ac:dyDescent="0.35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</row>
    <row r="707" spans="1:19" ht="21" customHeight="1" x14ac:dyDescent="0.35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</row>
    <row r="708" spans="1:19" ht="21" customHeight="1" x14ac:dyDescent="0.35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</row>
    <row r="709" spans="1:19" ht="21" customHeight="1" x14ac:dyDescent="0.35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</row>
    <row r="710" spans="1:19" ht="21" customHeight="1" x14ac:dyDescent="0.35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</row>
    <row r="711" spans="1:19" ht="21" customHeight="1" x14ac:dyDescent="0.35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</row>
    <row r="712" spans="1:19" ht="21" customHeight="1" x14ac:dyDescent="0.35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</row>
    <row r="713" spans="1:19" ht="21" customHeight="1" x14ac:dyDescent="0.35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</row>
    <row r="714" spans="1:19" ht="21" customHeight="1" x14ac:dyDescent="0.35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</row>
    <row r="715" spans="1:19" ht="21" customHeight="1" x14ac:dyDescent="0.3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</row>
    <row r="716" spans="1:19" ht="21" customHeight="1" x14ac:dyDescent="0.35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</row>
    <row r="717" spans="1:19" ht="21" customHeight="1" x14ac:dyDescent="0.35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</row>
    <row r="718" spans="1:19" ht="21" customHeight="1" x14ac:dyDescent="0.35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</row>
    <row r="719" spans="1:19" ht="21" customHeight="1" x14ac:dyDescent="0.35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</row>
    <row r="720" spans="1:19" ht="21" customHeight="1" x14ac:dyDescent="0.35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</row>
    <row r="721" spans="1:19" ht="21" customHeight="1" x14ac:dyDescent="0.35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</row>
    <row r="722" spans="1:19" ht="21" customHeight="1" x14ac:dyDescent="0.35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</row>
    <row r="723" spans="1:19" ht="21" customHeight="1" x14ac:dyDescent="0.35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</row>
    <row r="724" spans="1:19" ht="21" customHeight="1" x14ac:dyDescent="0.35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</row>
    <row r="725" spans="1:19" ht="21" customHeight="1" x14ac:dyDescent="0.3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</row>
    <row r="726" spans="1:19" ht="21" customHeight="1" x14ac:dyDescent="0.35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</row>
    <row r="727" spans="1:19" ht="21" customHeight="1" x14ac:dyDescent="0.35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</row>
    <row r="728" spans="1:19" ht="21" customHeight="1" x14ac:dyDescent="0.35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</row>
    <row r="729" spans="1:19" ht="21" customHeight="1" x14ac:dyDescent="0.35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</row>
    <row r="730" spans="1:19" ht="21" customHeight="1" x14ac:dyDescent="0.35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</row>
    <row r="731" spans="1:19" ht="21" customHeight="1" x14ac:dyDescent="0.35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</row>
    <row r="732" spans="1:19" ht="21" customHeight="1" x14ac:dyDescent="0.35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</row>
    <row r="733" spans="1:19" ht="21" customHeight="1" x14ac:dyDescent="0.35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</row>
    <row r="734" spans="1:19" ht="21" customHeight="1" x14ac:dyDescent="0.35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</row>
    <row r="735" spans="1:19" ht="21" customHeight="1" x14ac:dyDescent="0.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</row>
    <row r="736" spans="1:19" ht="21" customHeight="1" x14ac:dyDescent="0.35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</row>
    <row r="737" spans="1:19" ht="21" customHeight="1" x14ac:dyDescent="0.35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</row>
    <row r="738" spans="1:19" ht="21" customHeight="1" x14ac:dyDescent="0.35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</row>
    <row r="739" spans="1:19" ht="21" customHeight="1" x14ac:dyDescent="0.35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</row>
    <row r="740" spans="1:19" ht="21" customHeight="1" x14ac:dyDescent="0.35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</row>
    <row r="741" spans="1:19" ht="21" customHeight="1" x14ac:dyDescent="0.35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</row>
    <row r="742" spans="1:19" ht="21" customHeight="1" x14ac:dyDescent="0.35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</row>
    <row r="743" spans="1:19" ht="21" customHeight="1" x14ac:dyDescent="0.35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</row>
    <row r="744" spans="1:19" ht="21" customHeight="1" x14ac:dyDescent="0.35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</row>
    <row r="745" spans="1:19" ht="21" customHeight="1" x14ac:dyDescent="0.3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</row>
    <row r="746" spans="1:19" ht="21" customHeight="1" x14ac:dyDescent="0.35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</row>
    <row r="747" spans="1:19" ht="21" customHeight="1" x14ac:dyDescent="0.35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</row>
    <row r="748" spans="1:19" ht="21" customHeight="1" x14ac:dyDescent="0.35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</row>
    <row r="749" spans="1:19" ht="21" customHeight="1" x14ac:dyDescent="0.35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</row>
    <row r="750" spans="1:19" ht="21" customHeight="1" x14ac:dyDescent="0.35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</row>
    <row r="751" spans="1:19" ht="21" customHeight="1" x14ac:dyDescent="0.35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</row>
    <row r="752" spans="1:19" ht="21" customHeight="1" x14ac:dyDescent="0.35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</row>
    <row r="753" spans="1:19" ht="21" customHeight="1" x14ac:dyDescent="0.35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</row>
    <row r="754" spans="1:19" ht="21" customHeight="1" x14ac:dyDescent="0.35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</row>
    <row r="755" spans="1:19" ht="21" customHeight="1" x14ac:dyDescent="0.3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</row>
    <row r="756" spans="1:19" ht="21" customHeight="1" x14ac:dyDescent="0.35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</row>
    <row r="757" spans="1:19" ht="21" customHeight="1" x14ac:dyDescent="0.35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</row>
    <row r="758" spans="1:19" ht="21" customHeight="1" x14ac:dyDescent="0.35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</row>
    <row r="759" spans="1:19" ht="21" customHeight="1" x14ac:dyDescent="0.35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</row>
    <row r="760" spans="1:19" ht="21" customHeight="1" x14ac:dyDescent="0.35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</row>
    <row r="761" spans="1:19" ht="21" customHeight="1" x14ac:dyDescent="0.35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</row>
    <row r="762" spans="1:19" ht="21" customHeight="1" x14ac:dyDescent="0.35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</row>
    <row r="763" spans="1:19" ht="21" customHeight="1" x14ac:dyDescent="0.35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</row>
    <row r="764" spans="1:19" ht="21" customHeight="1" x14ac:dyDescent="0.35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</row>
    <row r="765" spans="1:19" ht="21" customHeight="1" x14ac:dyDescent="0.3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</row>
    <row r="766" spans="1:19" ht="21" customHeight="1" x14ac:dyDescent="0.35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</row>
    <row r="767" spans="1:19" ht="21" customHeight="1" x14ac:dyDescent="0.35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</row>
    <row r="768" spans="1:19" ht="21" customHeight="1" x14ac:dyDescent="0.35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</row>
    <row r="769" spans="1:19" ht="21" customHeight="1" x14ac:dyDescent="0.35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</row>
    <row r="770" spans="1:19" ht="21" customHeight="1" x14ac:dyDescent="0.35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</row>
    <row r="771" spans="1:19" ht="21" customHeight="1" x14ac:dyDescent="0.35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</row>
    <row r="772" spans="1:19" ht="21" customHeight="1" x14ac:dyDescent="0.35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</row>
    <row r="773" spans="1:19" ht="21" customHeight="1" x14ac:dyDescent="0.35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</row>
    <row r="774" spans="1:19" ht="21" customHeight="1" x14ac:dyDescent="0.35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</row>
    <row r="775" spans="1:19" ht="21" customHeight="1" x14ac:dyDescent="0.3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</row>
    <row r="776" spans="1:19" ht="21" customHeight="1" x14ac:dyDescent="0.35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</row>
    <row r="777" spans="1:19" ht="21" customHeight="1" x14ac:dyDescent="0.35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</row>
    <row r="778" spans="1:19" ht="21" customHeight="1" x14ac:dyDescent="0.35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</row>
    <row r="779" spans="1:19" ht="21" customHeight="1" x14ac:dyDescent="0.35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</row>
    <row r="780" spans="1:19" ht="21" customHeight="1" x14ac:dyDescent="0.35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</row>
    <row r="781" spans="1:19" ht="21" customHeight="1" x14ac:dyDescent="0.35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</row>
    <row r="782" spans="1:19" ht="21" customHeight="1" x14ac:dyDescent="0.35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</row>
    <row r="783" spans="1:19" ht="21" customHeight="1" x14ac:dyDescent="0.35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</row>
    <row r="784" spans="1:19" ht="21" customHeight="1" x14ac:dyDescent="0.35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</row>
    <row r="785" spans="1:19" ht="21" customHeight="1" x14ac:dyDescent="0.3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</row>
    <row r="786" spans="1:19" ht="21" customHeight="1" x14ac:dyDescent="0.35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</row>
    <row r="787" spans="1:19" ht="21" customHeight="1" x14ac:dyDescent="0.35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</row>
    <row r="788" spans="1:19" ht="21" customHeight="1" x14ac:dyDescent="0.35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</row>
    <row r="789" spans="1:19" ht="21" customHeight="1" x14ac:dyDescent="0.35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</row>
    <row r="790" spans="1:19" ht="21" customHeight="1" x14ac:dyDescent="0.35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</row>
    <row r="791" spans="1:19" ht="21" customHeight="1" x14ac:dyDescent="0.35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</row>
    <row r="792" spans="1:19" ht="21" customHeight="1" x14ac:dyDescent="0.35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</row>
    <row r="793" spans="1:19" ht="21" customHeight="1" x14ac:dyDescent="0.35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</row>
    <row r="794" spans="1:19" ht="21" customHeight="1" x14ac:dyDescent="0.35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</row>
    <row r="795" spans="1:19" ht="21" customHeight="1" x14ac:dyDescent="0.3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</row>
    <row r="796" spans="1:19" ht="21" customHeight="1" x14ac:dyDescent="0.35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</row>
    <row r="797" spans="1:19" ht="21" customHeight="1" x14ac:dyDescent="0.35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</row>
    <row r="798" spans="1:19" ht="21" customHeight="1" x14ac:dyDescent="0.35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</row>
    <row r="799" spans="1:19" ht="21" customHeight="1" x14ac:dyDescent="0.35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</row>
    <row r="800" spans="1:19" ht="21" customHeight="1" x14ac:dyDescent="0.35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</row>
    <row r="801" spans="1:19" ht="21" customHeight="1" x14ac:dyDescent="0.35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</row>
    <row r="802" spans="1:19" ht="21" customHeight="1" x14ac:dyDescent="0.35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</row>
    <row r="803" spans="1:19" ht="21" customHeight="1" x14ac:dyDescent="0.35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</row>
    <row r="804" spans="1:19" ht="21" customHeight="1" x14ac:dyDescent="0.35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</row>
    <row r="805" spans="1:19" ht="21" customHeight="1" x14ac:dyDescent="0.3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</row>
    <row r="806" spans="1:19" ht="21" customHeight="1" x14ac:dyDescent="0.35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</row>
    <row r="807" spans="1:19" ht="21" customHeight="1" x14ac:dyDescent="0.35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</row>
    <row r="808" spans="1:19" ht="21" customHeight="1" x14ac:dyDescent="0.35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</row>
    <row r="809" spans="1:19" ht="21" customHeight="1" x14ac:dyDescent="0.35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</row>
    <row r="810" spans="1:19" ht="21" customHeight="1" x14ac:dyDescent="0.35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</row>
    <row r="811" spans="1:19" ht="21" customHeight="1" x14ac:dyDescent="0.35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</row>
    <row r="812" spans="1:19" ht="21" customHeight="1" x14ac:dyDescent="0.35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</row>
    <row r="813" spans="1:19" ht="21" customHeight="1" x14ac:dyDescent="0.35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</row>
    <row r="814" spans="1:19" ht="21" customHeight="1" x14ac:dyDescent="0.35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</row>
    <row r="815" spans="1:19" ht="21" customHeight="1" x14ac:dyDescent="0.3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</row>
    <row r="816" spans="1:19" ht="21" customHeight="1" x14ac:dyDescent="0.35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</row>
    <row r="817" spans="1:19" ht="21" customHeight="1" x14ac:dyDescent="0.35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</row>
    <row r="818" spans="1:19" ht="21" customHeight="1" x14ac:dyDescent="0.35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</row>
    <row r="819" spans="1:19" ht="21" customHeight="1" x14ac:dyDescent="0.35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</row>
    <row r="820" spans="1:19" ht="21" customHeight="1" x14ac:dyDescent="0.35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</row>
    <row r="821" spans="1:19" ht="21" customHeight="1" x14ac:dyDescent="0.35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</row>
    <row r="822" spans="1:19" ht="21" customHeight="1" x14ac:dyDescent="0.35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</row>
    <row r="823" spans="1:19" ht="21" customHeight="1" x14ac:dyDescent="0.35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</row>
    <row r="824" spans="1:19" ht="21" customHeight="1" x14ac:dyDescent="0.35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</row>
    <row r="825" spans="1:19" ht="21" customHeight="1" x14ac:dyDescent="0.3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</row>
    <row r="826" spans="1:19" ht="21" customHeight="1" x14ac:dyDescent="0.35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</row>
    <row r="827" spans="1:19" ht="21" customHeight="1" x14ac:dyDescent="0.35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</row>
    <row r="828" spans="1:19" ht="21" customHeight="1" x14ac:dyDescent="0.35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</row>
    <row r="829" spans="1:19" ht="21" customHeight="1" x14ac:dyDescent="0.35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</row>
    <row r="830" spans="1:19" ht="21" customHeight="1" x14ac:dyDescent="0.35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</row>
    <row r="831" spans="1:19" ht="21" customHeight="1" x14ac:dyDescent="0.35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</row>
    <row r="832" spans="1:19" ht="21" customHeight="1" x14ac:dyDescent="0.35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</row>
    <row r="833" spans="1:19" ht="21" customHeight="1" x14ac:dyDescent="0.35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</row>
    <row r="834" spans="1:19" ht="21" customHeight="1" x14ac:dyDescent="0.35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</row>
    <row r="835" spans="1:19" ht="21" customHeight="1" x14ac:dyDescent="0.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</row>
    <row r="836" spans="1:19" ht="21" customHeight="1" x14ac:dyDescent="0.35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</row>
    <row r="837" spans="1:19" ht="21" customHeight="1" x14ac:dyDescent="0.35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</row>
    <row r="838" spans="1:19" ht="21" customHeight="1" x14ac:dyDescent="0.35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</row>
    <row r="839" spans="1:19" ht="21" customHeight="1" x14ac:dyDescent="0.35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</row>
    <row r="840" spans="1:19" ht="21" customHeight="1" x14ac:dyDescent="0.35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</row>
    <row r="841" spans="1:19" ht="21" customHeight="1" x14ac:dyDescent="0.35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</row>
    <row r="842" spans="1:19" ht="21" customHeight="1" x14ac:dyDescent="0.35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</row>
    <row r="843" spans="1:19" ht="21" customHeight="1" x14ac:dyDescent="0.35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</row>
    <row r="844" spans="1:19" ht="21" customHeight="1" x14ac:dyDescent="0.35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</row>
    <row r="845" spans="1:19" ht="21" customHeight="1" x14ac:dyDescent="0.3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</row>
    <row r="846" spans="1:19" ht="21" customHeight="1" x14ac:dyDescent="0.35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</row>
    <row r="847" spans="1:19" ht="21" customHeight="1" x14ac:dyDescent="0.35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</row>
    <row r="848" spans="1:19" ht="21" customHeight="1" x14ac:dyDescent="0.35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</row>
    <row r="849" spans="1:19" ht="21" customHeight="1" x14ac:dyDescent="0.35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</row>
    <row r="850" spans="1:19" ht="21" customHeight="1" x14ac:dyDescent="0.35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</row>
    <row r="851" spans="1:19" ht="21" customHeight="1" x14ac:dyDescent="0.35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</row>
    <row r="852" spans="1:19" ht="21" customHeight="1" x14ac:dyDescent="0.35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</row>
    <row r="853" spans="1:19" ht="21" customHeight="1" x14ac:dyDescent="0.35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</row>
    <row r="854" spans="1:19" ht="21" customHeight="1" x14ac:dyDescent="0.35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</row>
    <row r="855" spans="1:19" ht="21" customHeight="1" x14ac:dyDescent="0.3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</row>
    <row r="856" spans="1:19" ht="21" customHeight="1" x14ac:dyDescent="0.35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</row>
    <row r="857" spans="1:19" ht="21" customHeight="1" x14ac:dyDescent="0.35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</row>
    <row r="858" spans="1:19" ht="21" customHeight="1" x14ac:dyDescent="0.35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</row>
    <row r="859" spans="1:19" ht="21" customHeight="1" x14ac:dyDescent="0.35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</row>
    <row r="860" spans="1:19" ht="21" customHeight="1" x14ac:dyDescent="0.35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</row>
    <row r="861" spans="1:19" ht="21" customHeight="1" x14ac:dyDescent="0.35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</row>
    <row r="862" spans="1:19" ht="21" customHeight="1" x14ac:dyDescent="0.35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</row>
    <row r="863" spans="1:19" ht="21" customHeight="1" x14ac:dyDescent="0.35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</row>
    <row r="864" spans="1:19" ht="21" customHeight="1" x14ac:dyDescent="0.35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</row>
    <row r="865" spans="1:19" ht="21" customHeight="1" x14ac:dyDescent="0.3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</row>
    <row r="866" spans="1:19" ht="21" customHeight="1" x14ac:dyDescent="0.35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</row>
    <row r="867" spans="1:19" ht="21" customHeight="1" x14ac:dyDescent="0.35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</row>
    <row r="868" spans="1:19" ht="21" customHeight="1" x14ac:dyDescent="0.35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</row>
    <row r="869" spans="1:19" ht="21" customHeight="1" x14ac:dyDescent="0.35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</row>
    <row r="870" spans="1:19" ht="21" customHeight="1" x14ac:dyDescent="0.35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</row>
    <row r="871" spans="1:19" ht="21" customHeight="1" x14ac:dyDescent="0.35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</row>
    <row r="872" spans="1:19" ht="21" customHeight="1" x14ac:dyDescent="0.35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</row>
    <row r="873" spans="1:19" ht="21" customHeight="1" x14ac:dyDescent="0.35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</row>
    <row r="874" spans="1:19" ht="21" customHeight="1" x14ac:dyDescent="0.35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</row>
    <row r="875" spans="1:19" ht="21" customHeight="1" x14ac:dyDescent="0.3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</row>
    <row r="876" spans="1:19" ht="21" customHeight="1" x14ac:dyDescent="0.35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</row>
    <row r="877" spans="1:19" ht="21" customHeight="1" x14ac:dyDescent="0.35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</row>
    <row r="878" spans="1:19" ht="21" customHeight="1" x14ac:dyDescent="0.35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</row>
    <row r="879" spans="1:19" ht="21" customHeight="1" x14ac:dyDescent="0.35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</row>
    <row r="880" spans="1:19" ht="21" customHeight="1" x14ac:dyDescent="0.35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</row>
    <row r="881" spans="1:19" ht="21" customHeight="1" x14ac:dyDescent="0.35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</row>
    <row r="882" spans="1:19" ht="21" customHeight="1" x14ac:dyDescent="0.35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</row>
    <row r="883" spans="1:19" ht="21" customHeight="1" x14ac:dyDescent="0.35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</row>
    <row r="884" spans="1:19" ht="21" customHeight="1" x14ac:dyDescent="0.35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</row>
    <row r="885" spans="1:19" ht="21" customHeight="1" x14ac:dyDescent="0.3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</row>
    <row r="886" spans="1:19" ht="21" customHeight="1" x14ac:dyDescent="0.35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</row>
    <row r="887" spans="1:19" ht="21" customHeight="1" x14ac:dyDescent="0.35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</row>
    <row r="888" spans="1:19" ht="21" customHeight="1" x14ac:dyDescent="0.35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</row>
    <row r="889" spans="1:19" ht="21" customHeight="1" x14ac:dyDescent="0.35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</row>
    <row r="890" spans="1:19" ht="21" customHeight="1" x14ac:dyDescent="0.35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</row>
    <row r="891" spans="1:19" ht="21" customHeight="1" x14ac:dyDescent="0.35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</row>
    <row r="892" spans="1:19" ht="21" customHeight="1" x14ac:dyDescent="0.35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</row>
    <row r="893" spans="1:19" ht="21" customHeight="1" x14ac:dyDescent="0.35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</row>
    <row r="894" spans="1:19" ht="21" customHeight="1" x14ac:dyDescent="0.35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</row>
    <row r="895" spans="1:19" ht="21" customHeight="1" x14ac:dyDescent="0.3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</row>
    <row r="896" spans="1:19" ht="21" customHeight="1" x14ac:dyDescent="0.35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</row>
    <row r="897" spans="1:19" ht="21" customHeight="1" x14ac:dyDescent="0.35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</row>
    <row r="898" spans="1:19" ht="21" customHeight="1" x14ac:dyDescent="0.35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</row>
    <row r="899" spans="1:19" ht="21" customHeight="1" x14ac:dyDescent="0.35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</row>
    <row r="900" spans="1:19" ht="21" customHeight="1" x14ac:dyDescent="0.35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</row>
    <row r="901" spans="1:19" ht="21" customHeight="1" x14ac:dyDescent="0.35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</row>
    <row r="902" spans="1:19" ht="21" customHeight="1" x14ac:dyDescent="0.35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</row>
    <row r="903" spans="1:19" ht="21" customHeight="1" x14ac:dyDescent="0.35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</row>
    <row r="904" spans="1:19" ht="21" customHeight="1" x14ac:dyDescent="0.35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</row>
    <row r="905" spans="1:19" ht="21" customHeight="1" x14ac:dyDescent="0.3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</row>
    <row r="906" spans="1:19" ht="21" customHeight="1" x14ac:dyDescent="0.35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</row>
    <row r="907" spans="1:19" ht="21" customHeight="1" x14ac:dyDescent="0.35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</row>
    <row r="908" spans="1:19" ht="21" customHeight="1" x14ac:dyDescent="0.35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</row>
    <row r="909" spans="1:19" ht="21" customHeight="1" x14ac:dyDescent="0.35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</row>
    <row r="910" spans="1:19" ht="21" customHeight="1" x14ac:dyDescent="0.35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</row>
    <row r="911" spans="1:19" ht="21" customHeight="1" x14ac:dyDescent="0.35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</row>
    <row r="912" spans="1:19" ht="21" customHeight="1" x14ac:dyDescent="0.35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</row>
    <row r="913" spans="1:19" ht="21" customHeight="1" x14ac:dyDescent="0.35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</row>
    <row r="914" spans="1:19" ht="21" customHeight="1" x14ac:dyDescent="0.35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</row>
    <row r="915" spans="1:19" ht="21" customHeight="1" x14ac:dyDescent="0.3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</row>
    <row r="916" spans="1:19" ht="21" customHeight="1" x14ac:dyDescent="0.35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</row>
    <row r="917" spans="1:19" ht="21" customHeight="1" x14ac:dyDescent="0.35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</row>
    <row r="918" spans="1:19" ht="21" customHeight="1" x14ac:dyDescent="0.35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</row>
    <row r="919" spans="1:19" ht="21" customHeight="1" x14ac:dyDescent="0.35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</row>
    <row r="920" spans="1:19" ht="21" customHeight="1" x14ac:dyDescent="0.35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</row>
    <row r="921" spans="1:19" ht="21" customHeight="1" x14ac:dyDescent="0.35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</row>
    <row r="922" spans="1:19" ht="21" customHeight="1" x14ac:dyDescent="0.35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</row>
    <row r="923" spans="1:19" ht="21" customHeight="1" x14ac:dyDescent="0.35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</row>
    <row r="924" spans="1:19" ht="21" customHeight="1" x14ac:dyDescent="0.35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</row>
    <row r="925" spans="1:19" ht="21" customHeight="1" x14ac:dyDescent="0.3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</row>
    <row r="926" spans="1:19" ht="21" customHeight="1" x14ac:dyDescent="0.35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</row>
    <row r="927" spans="1:19" ht="21" customHeight="1" x14ac:dyDescent="0.35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</row>
    <row r="928" spans="1:19" ht="21" customHeight="1" x14ac:dyDescent="0.35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</row>
    <row r="929" spans="1:19" ht="21" customHeight="1" x14ac:dyDescent="0.35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</row>
    <row r="930" spans="1:19" ht="21" customHeight="1" x14ac:dyDescent="0.35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</row>
    <row r="931" spans="1:19" ht="21" customHeight="1" x14ac:dyDescent="0.35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</row>
    <row r="932" spans="1:19" ht="21" customHeight="1" x14ac:dyDescent="0.35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</row>
    <row r="933" spans="1:19" ht="21" customHeight="1" x14ac:dyDescent="0.35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</row>
    <row r="934" spans="1:19" ht="21" customHeight="1" x14ac:dyDescent="0.35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</row>
    <row r="935" spans="1:19" ht="21" customHeight="1" x14ac:dyDescent="0.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</row>
    <row r="936" spans="1:19" ht="21" customHeight="1" x14ac:dyDescent="0.35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</row>
    <row r="937" spans="1:19" ht="21" customHeight="1" x14ac:dyDescent="0.35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</row>
    <row r="938" spans="1:19" ht="21" customHeight="1" x14ac:dyDescent="0.35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</row>
    <row r="939" spans="1:19" ht="21" customHeight="1" x14ac:dyDescent="0.35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</row>
    <row r="940" spans="1:19" ht="21" customHeight="1" x14ac:dyDescent="0.35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</row>
    <row r="941" spans="1:19" ht="21" customHeight="1" x14ac:dyDescent="0.35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</row>
    <row r="942" spans="1:19" ht="21" customHeight="1" x14ac:dyDescent="0.35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</row>
    <row r="943" spans="1:19" ht="21" customHeight="1" x14ac:dyDescent="0.35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</row>
    <row r="944" spans="1:19" ht="21" customHeight="1" x14ac:dyDescent="0.35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</row>
    <row r="945" spans="1:19" ht="21" customHeight="1" x14ac:dyDescent="0.3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</row>
    <row r="946" spans="1:19" ht="21" customHeight="1" x14ac:dyDescent="0.35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</row>
    <row r="947" spans="1:19" ht="21" customHeight="1" x14ac:dyDescent="0.35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</row>
    <row r="948" spans="1:19" ht="21" customHeight="1" x14ac:dyDescent="0.35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</row>
    <row r="949" spans="1:19" ht="21" customHeight="1" x14ac:dyDescent="0.35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</row>
    <row r="950" spans="1:19" ht="21" customHeight="1" x14ac:dyDescent="0.35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</row>
    <row r="951" spans="1:19" ht="21" customHeight="1" x14ac:dyDescent="0.35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</row>
    <row r="952" spans="1:19" ht="21" customHeight="1" x14ac:dyDescent="0.35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</row>
    <row r="953" spans="1:19" ht="21" customHeight="1" x14ac:dyDescent="0.35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</row>
    <row r="954" spans="1:19" ht="21" customHeight="1" x14ac:dyDescent="0.35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</row>
    <row r="955" spans="1:19" ht="21" customHeight="1" x14ac:dyDescent="0.3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</row>
    <row r="956" spans="1:19" ht="21" customHeight="1" x14ac:dyDescent="0.35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</row>
    <row r="957" spans="1:19" ht="21" customHeight="1" x14ac:dyDescent="0.35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</row>
    <row r="958" spans="1:19" ht="21" customHeight="1" x14ac:dyDescent="0.35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</row>
    <row r="959" spans="1:19" ht="21" customHeight="1" x14ac:dyDescent="0.35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</row>
    <row r="960" spans="1:19" ht="21" customHeight="1" x14ac:dyDescent="0.35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</row>
    <row r="961" spans="1:19" ht="21" customHeight="1" x14ac:dyDescent="0.35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</row>
    <row r="962" spans="1:19" ht="21" customHeight="1" x14ac:dyDescent="0.35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</row>
    <row r="963" spans="1:19" ht="21" customHeight="1" x14ac:dyDescent="0.35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</row>
    <row r="964" spans="1:19" ht="21" customHeight="1" x14ac:dyDescent="0.35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</row>
    <row r="965" spans="1:19" ht="21" customHeight="1" x14ac:dyDescent="0.3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</row>
    <row r="966" spans="1:19" ht="21" customHeight="1" x14ac:dyDescent="0.35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</row>
    <row r="967" spans="1:19" ht="21" customHeight="1" x14ac:dyDescent="0.35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</row>
    <row r="968" spans="1:19" ht="21" customHeight="1" x14ac:dyDescent="0.35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</row>
    <row r="969" spans="1:19" ht="21" customHeight="1" x14ac:dyDescent="0.35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</row>
    <row r="970" spans="1:19" ht="21" customHeight="1" x14ac:dyDescent="0.35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</row>
    <row r="971" spans="1:19" ht="21" customHeight="1" x14ac:dyDescent="0.35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</row>
    <row r="972" spans="1:19" ht="21" customHeight="1" x14ac:dyDescent="0.35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</row>
    <row r="973" spans="1:19" ht="21" customHeight="1" x14ac:dyDescent="0.35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</row>
    <row r="974" spans="1:19" ht="21" customHeight="1" x14ac:dyDescent="0.35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</row>
    <row r="975" spans="1:19" ht="21" customHeight="1" x14ac:dyDescent="0.3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</row>
    <row r="976" spans="1:19" ht="21" customHeight="1" x14ac:dyDescent="0.35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</row>
    <row r="977" spans="1:19" ht="21" customHeight="1" x14ac:dyDescent="0.35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</row>
    <row r="978" spans="1:19" ht="21" customHeight="1" x14ac:dyDescent="0.35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</row>
    <row r="979" spans="1:19" ht="21" customHeight="1" x14ac:dyDescent="0.35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</row>
    <row r="980" spans="1:19" ht="21" customHeight="1" x14ac:dyDescent="0.35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</row>
    <row r="981" spans="1:19" ht="21" customHeight="1" x14ac:dyDescent="0.35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</row>
    <row r="982" spans="1:19" ht="21" customHeight="1" x14ac:dyDescent="0.35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</row>
    <row r="983" spans="1:19" ht="21" customHeight="1" x14ac:dyDescent="0.35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</row>
    <row r="984" spans="1:19" ht="21" customHeight="1" x14ac:dyDescent="0.35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</row>
    <row r="985" spans="1:19" ht="21" customHeight="1" x14ac:dyDescent="0.3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</row>
    <row r="986" spans="1:19" ht="21" customHeight="1" x14ac:dyDescent="0.35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</row>
    <row r="987" spans="1:19" ht="21" customHeight="1" x14ac:dyDescent="0.35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</row>
    <row r="988" spans="1:19" ht="21" customHeight="1" x14ac:dyDescent="0.35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</row>
    <row r="989" spans="1:19" ht="21" customHeight="1" x14ac:dyDescent="0.35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</row>
    <row r="990" spans="1:19" ht="21" customHeight="1" x14ac:dyDescent="0.35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</row>
    <row r="991" spans="1:19" ht="21" customHeight="1" x14ac:dyDescent="0.35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</row>
    <row r="992" spans="1:19" ht="21" customHeight="1" x14ac:dyDescent="0.35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</row>
    <row r="993" spans="1:19" ht="21" customHeight="1" x14ac:dyDescent="0.35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</row>
    <row r="994" spans="1:19" ht="21" customHeight="1" x14ac:dyDescent="0.35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</row>
    <row r="995" spans="1:19" ht="21" customHeight="1" x14ac:dyDescent="0.3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</row>
    <row r="996" spans="1:19" ht="21" customHeight="1" x14ac:dyDescent="0.35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</row>
    <row r="997" spans="1:19" ht="21" customHeight="1" x14ac:dyDescent="0.35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</row>
    <row r="998" spans="1:19" ht="21" customHeight="1" x14ac:dyDescent="0.35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</row>
    <row r="999" spans="1:19" ht="21" customHeight="1" x14ac:dyDescent="0.35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</row>
    <row r="1000" spans="1:19" ht="21" customHeight="1" x14ac:dyDescent="0.35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</row>
  </sheetData>
  <mergeCells count="2">
    <mergeCell ref="G1:J1"/>
    <mergeCell ref="G19:J19"/>
  </mergeCells>
  <conditionalFormatting sqref="H2:H18 H20:H1048576">
    <cfRule type="containsText" dxfId="1" priority="5" operator="containsText" text="Data Not Found">
      <formula>NOT(ISERROR(SEARCH("Data Not Found",H2)))</formula>
    </cfRule>
  </conditionalFormatting>
  <conditionalFormatting sqref="I2:I18 I20:I1048576">
    <cfRule type="containsText" dxfId="0" priority="4" operator="containsText" text="Data Not Found">
      <formula>NOT(ISERROR(SEARCH("Data Not Found",I2)))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F384-12F7-4A4A-BC9F-EC017DC543AC}">
  <dimension ref="A1:C15"/>
  <sheetViews>
    <sheetView zoomScale="85" zoomScaleNormal="85" workbookViewId="0">
      <selection activeCell="F11" sqref="F11"/>
    </sheetView>
  </sheetViews>
  <sheetFormatPr defaultRowHeight="15" x14ac:dyDescent="0.25"/>
  <cols>
    <col min="1" max="1" width="20.28515625" bestFit="1" customWidth="1"/>
    <col min="2" max="2" width="18.85546875" bestFit="1" customWidth="1"/>
    <col min="3" max="3" width="15.85546875" bestFit="1" customWidth="1"/>
  </cols>
  <sheetData>
    <row r="1" spans="1:3" ht="27" thickBot="1" x14ac:dyDescent="0.45">
      <c r="A1" s="106" t="s">
        <v>317</v>
      </c>
      <c r="B1" s="107"/>
      <c r="C1" s="72" t="s">
        <v>318</v>
      </c>
    </row>
    <row r="2" spans="1:3" ht="26.25" x14ac:dyDescent="0.4">
      <c r="A2" s="73" t="s">
        <v>319</v>
      </c>
      <c r="B2" s="74" t="s">
        <v>320</v>
      </c>
      <c r="C2" s="75" t="s">
        <v>321</v>
      </c>
    </row>
    <row r="3" spans="1:3" ht="26.25" x14ac:dyDescent="0.4">
      <c r="A3" s="76">
        <v>1001</v>
      </c>
      <c r="B3" s="77">
        <v>2000</v>
      </c>
      <c r="C3" s="78">
        <v>0.05</v>
      </c>
    </row>
    <row r="4" spans="1:3" ht="26.25" x14ac:dyDescent="0.4">
      <c r="A4" s="76">
        <v>2001</v>
      </c>
      <c r="B4" s="77">
        <v>5000</v>
      </c>
      <c r="C4" s="78">
        <v>0.1</v>
      </c>
    </row>
    <row r="5" spans="1:3" ht="26.25" x14ac:dyDescent="0.4">
      <c r="A5" s="76">
        <v>5001</v>
      </c>
      <c r="B5" s="77">
        <v>10000</v>
      </c>
      <c r="C5" s="78">
        <v>0.2</v>
      </c>
    </row>
    <row r="6" spans="1:3" ht="27" thickBot="1" x14ac:dyDescent="0.45">
      <c r="A6" s="79">
        <v>10001</v>
      </c>
      <c r="B6" s="80" t="s">
        <v>322</v>
      </c>
      <c r="C6" s="81">
        <v>0.3</v>
      </c>
    </row>
    <row r="7" spans="1:3" ht="26.25" x14ac:dyDescent="0.4">
      <c r="A7" s="77"/>
      <c r="B7" s="77"/>
      <c r="C7" s="77"/>
    </row>
    <row r="8" spans="1:3" ht="26.25" x14ac:dyDescent="0.4">
      <c r="A8" s="77"/>
      <c r="B8" s="77"/>
      <c r="C8" s="77"/>
    </row>
    <row r="9" spans="1:3" ht="26.25" x14ac:dyDescent="0.4">
      <c r="A9" s="77"/>
      <c r="B9" s="77"/>
      <c r="C9" s="77"/>
    </row>
    <row r="10" spans="1:3" ht="26.25" x14ac:dyDescent="0.4">
      <c r="A10" s="77"/>
      <c r="B10" s="77"/>
      <c r="C10" s="77"/>
    </row>
    <row r="11" spans="1:3" ht="26.25" x14ac:dyDescent="0.4">
      <c r="A11" s="82" t="s">
        <v>317</v>
      </c>
      <c r="B11" s="82" t="s">
        <v>157</v>
      </c>
      <c r="C11" s="77"/>
    </row>
    <row r="12" spans="1:3" ht="26.25" x14ac:dyDescent="0.4">
      <c r="A12" s="64">
        <v>1500</v>
      </c>
      <c r="B12" s="83"/>
      <c r="C12" s="77"/>
    </row>
    <row r="13" spans="1:3" ht="26.25" x14ac:dyDescent="0.4">
      <c r="A13" s="64">
        <v>2500</v>
      </c>
      <c r="B13" s="83"/>
      <c r="C13" s="77"/>
    </row>
    <row r="14" spans="1:3" ht="26.25" x14ac:dyDescent="0.4">
      <c r="A14" s="64">
        <v>15000</v>
      </c>
      <c r="B14" s="83"/>
      <c r="C14" s="77"/>
    </row>
    <row r="15" spans="1:3" ht="26.25" x14ac:dyDescent="0.4">
      <c r="A15" s="64">
        <v>9000</v>
      </c>
      <c r="B15" s="84"/>
      <c r="C15" s="77"/>
    </row>
  </sheetData>
  <mergeCells count="1">
    <mergeCell ref="A1:B1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5785-1769-4FB1-9128-743C1C1C48C2}">
  <dimension ref="A1:K18"/>
  <sheetViews>
    <sheetView tabSelected="1" workbookViewId="0">
      <selection activeCell="D38" sqref="D38"/>
    </sheetView>
  </sheetViews>
  <sheetFormatPr defaultRowHeight="15" x14ac:dyDescent="0.25"/>
  <cols>
    <col min="2" max="2" width="19.140625" customWidth="1"/>
    <col min="3" max="3" width="14.5703125" customWidth="1"/>
    <col min="7" max="7" width="10.42578125" bestFit="1" customWidth="1"/>
    <col min="8" max="8" width="15.5703125" customWidth="1"/>
    <col min="10" max="10" width="9.85546875" bestFit="1" customWidth="1"/>
    <col min="11" max="11" width="21.85546875" bestFit="1" customWidth="1"/>
  </cols>
  <sheetData>
    <row r="1" spans="1:11" x14ac:dyDescent="0.25">
      <c r="A1">
        <v>1</v>
      </c>
      <c r="B1" t="s">
        <v>356</v>
      </c>
    </row>
    <row r="2" spans="1:11" x14ac:dyDescent="0.25">
      <c r="A2">
        <v>2</v>
      </c>
      <c r="B2" t="s">
        <v>358</v>
      </c>
    </row>
    <row r="3" spans="1:11" x14ac:dyDescent="0.25">
      <c r="A3">
        <v>3</v>
      </c>
      <c r="B3" t="s">
        <v>360</v>
      </c>
    </row>
    <row r="4" spans="1:11" x14ac:dyDescent="0.25">
      <c r="A4">
        <v>4</v>
      </c>
      <c r="B4" t="s">
        <v>361</v>
      </c>
    </row>
    <row r="5" spans="1:11" x14ac:dyDescent="0.25">
      <c r="A5">
        <v>5</v>
      </c>
      <c r="B5" t="s">
        <v>363</v>
      </c>
    </row>
    <row r="8" spans="1:11" x14ac:dyDescent="0.25">
      <c r="A8" s="2" t="s">
        <v>172</v>
      </c>
      <c r="B8" s="2" t="s">
        <v>355</v>
      </c>
      <c r="C8" s="2" t="s">
        <v>332</v>
      </c>
      <c r="D8" s="2" t="s">
        <v>333</v>
      </c>
      <c r="E8" s="2" t="s">
        <v>334</v>
      </c>
      <c r="F8" s="2" t="s">
        <v>335</v>
      </c>
      <c r="G8" s="2" t="s">
        <v>336</v>
      </c>
      <c r="H8" s="86" t="s">
        <v>357</v>
      </c>
      <c r="I8" s="87" t="s">
        <v>41</v>
      </c>
      <c r="J8" s="88" t="s">
        <v>359</v>
      </c>
      <c r="K8" s="89" t="s">
        <v>362</v>
      </c>
    </row>
    <row r="9" spans="1:11" x14ac:dyDescent="0.25">
      <c r="A9" s="2">
        <v>1001</v>
      </c>
      <c r="B9" s="2" t="s">
        <v>205</v>
      </c>
      <c r="C9" s="2" t="s">
        <v>337</v>
      </c>
      <c r="D9" s="2" t="s">
        <v>338</v>
      </c>
      <c r="E9" s="2">
        <v>18</v>
      </c>
      <c r="F9" s="2">
        <v>200</v>
      </c>
      <c r="G9" s="2" t="s">
        <v>339</v>
      </c>
      <c r="H9" s="90"/>
      <c r="I9" s="12"/>
      <c r="J9" s="7"/>
      <c r="K9" s="6"/>
    </row>
    <row r="10" spans="1:11" x14ac:dyDescent="0.25">
      <c r="A10" s="2">
        <v>1002</v>
      </c>
      <c r="B10" s="2" t="s">
        <v>195</v>
      </c>
      <c r="C10" s="2" t="s">
        <v>340</v>
      </c>
      <c r="D10" s="2" t="s">
        <v>338</v>
      </c>
      <c r="E10" s="2">
        <v>15</v>
      </c>
      <c r="F10" s="2">
        <v>200</v>
      </c>
      <c r="G10" s="2" t="s">
        <v>341</v>
      </c>
      <c r="H10" s="90"/>
      <c r="I10" s="12"/>
      <c r="J10" s="7"/>
      <c r="K10" s="6"/>
    </row>
    <row r="11" spans="1:11" x14ac:dyDescent="0.25">
      <c r="A11" s="2">
        <v>1003</v>
      </c>
      <c r="B11" s="2" t="s">
        <v>351</v>
      </c>
      <c r="C11" s="2" t="s">
        <v>340</v>
      </c>
      <c r="D11" s="2" t="s">
        <v>338</v>
      </c>
      <c r="E11" s="2">
        <v>13</v>
      </c>
      <c r="F11" s="2">
        <v>250</v>
      </c>
      <c r="G11" s="2" t="s">
        <v>342</v>
      </c>
      <c r="H11" s="90"/>
      <c r="I11" s="12"/>
      <c r="J11" s="7"/>
      <c r="K11" s="6"/>
    </row>
    <row r="12" spans="1:11" x14ac:dyDescent="0.25">
      <c r="A12" s="2">
        <v>1004</v>
      </c>
      <c r="B12" s="2" t="s">
        <v>219</v>
      </c>
      <c r="C12" s="2" t="s">
        <v>343</v>
      </c>
      <c r="D12" s="2" t="s">
        <v>338</v>
      </c>
      <c r="E12" s="2">
        <v>17</v>
      </c>
      <c r="F12" s="2">
        <v>150</v>
      </c>
      <c r="G12" s="2" t="s">
        <v>342</v>
      </c>
      <c r="H12" s="90"/>
      <c r="I12" s="12"/>
      <c r="J12" s="7"/>
      <c r="K12" s="6"/>
    </row>
    <row r="13" spans="1:11" x14ac:dyDescent="0.25">
      <c r="A13" s="2">
        <v>1005</v>
      </c>
      <c r="B13" s="2" t="s">
        <v>210</v>
      </c>
      <c r="C13" s="2" t="s">
        <v>343</v>
      </c>
      <c r="D13" s="2" t="s">
        <v>338</v>
      </c>
      <c r="E13" s="2">
        <v>15</v>
      </c>
      <c r="F13" s="2">
        <v>150</v>
      </c>
      <c r="G13" s="2" t="s">
        <v>342</v>
      </c>
      <c r="H13" s="90"/>
      <c r="I13" s="12"/>
      <c r="J13" s="7"/>
      <c r="K13" s="6"/>
    </row>
    <row r="14" spans="1:11" x14ac:dyDescent="0.25">
      <c r="A14" s="2">
        <v>1006</v>
      </c>
      <c r="B14" s="2" t="s">
        <v>354</v>
      </c>
      <c r="C14" s="2" t="s">
        <v>337</v>
      </c>
      <c r="D14" s="2" t="s">
        <v>338</v>
      </c>
      <c r="E14" s="2">
        <v>6</v>
      </c>
      <c r="F14" s="2">
        <v>150</v>
      </c>
      <c r="G14" s="2" t="s">
        <v>344</v>
      </c>
      <c r="H14" s="90"/>
      <c r="I14" s="12"/>
      <c r="J14" s="7"/>
      <c r="K14" s="6"/>
    </row>
    <row r="15" spans="1:11" x14ac:dyDescent="0.25">
      <c r="A15" s="2">
        <v>1007</v>
      </c>
      <c r="B15" s="2" t="s">
        <v>222</v>
      </c>
      <c r="C15" s="2" t="s">
        <v>340</v>
      </c>
      <c r="D15" s="2" t="s">
        <v>345</v>
      </c>
      <c r="E15" s="2">
        <v>2</v>
      </c>
      <c r="F15" s="2">
        <v>200</v>
      </c>
      <c r="G15" s="2" t="s">
        <v>346</v>
      </c>
      <c r="H15" s="90"/>
      <c r="I15" s="12"/>
      <c r="J15" s="7"/>
      <c r="K15" s="6"/>
    </row>
    <row r="16" spans="1:11" x14ac:dyDescent="0.25">
      <c r="A16" s="2">
        <v>1008</v>
      </c>
      <c r="B16" s="2" t="s">
        <v>352</v>
      </c>
      <c r="C16" s="2" t="s">
        <v>347</v>
      </c>
      <c r="D16" s="2" t="s">
        <v>348</v>
      </c>
      <c r="E16" s="2">
        <v>5</v>
      </c>
      <c r="F16" s="2">
        <v>150</v>
      </c>
      <c r="G16" s="2" t="s">
        <v>349</v>
      </c>
      <c r="H16" s="90"/>
      <c r="I16" s="12"/>
      <c r="J16" s="7"/>
      <c r="K16" s="6"/>
    </row>
    <row r="17" spans="1:11" x14ac:dyDescent="0.25">
      <c r="A17" s="2">
        <v>1009</v>
      </c>
      <c r="B17" s="2" t="s">
        <v>242</v>
      </c>
      <c r="C17" s="2" t="s">
        <v>350</v>
      </c>
      <c r="D17" s="2" t="s">
        <v>338</v>
      </c>
      <c r="E17" s="2">
        <v>1</v>
      </c>
      <c r="F17" s="2">
        <v>150</v>
      </c>
      <c r="G17" s="2" t="s">
        <v>346</v>
      </c>
      <c r="H17" s="90"/>
      <c r="I17" s="12"/>
      <c r="J17" s="7"/>
      <c r="K17" s="6"/>
    </row>
    <row r="18" spans="1:11" ht="30" x14ac:dyDescent="0.25">
      <c r="A18" s="2">
        <v>1010</v>
      </c>
      <c r="B18" s="91" t="s">
        <v>353</v>
      </c>
      <c r="C18" s="2" t="s">
        <v>337</v>
      </c>
      <c r="D18" s="2" t="s">
        <v>348</v>
      </c>
      <c r="E18" s="2">
        <v>16</v>
      </c>
      <c r="F18" s="2">
        <v>100</v>
      </c>
      <c r="G18" s="2" t="s">
        <v>342</v>
      </c>
      <c r="H18" s="90"/>
      <c r="I18" s="12"/>
      <c r="J18" s="7"/>
      <c r="K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outline</vt:lpstr>
      <vt:lpstr>exercise 1</vt:lpstr>
      <vt:lpstr>exercise 2</vt:lpstr>
      <vt:lpstr>Challenge คิดเกรดเฉลี่ย</vt:lpstr>
      <vt:lpstr>exercise 3 IF</vt:lpstr>
      <vt:lpstr>exercise 3 IF (2)</vt:lpstr>
      <vt:lpstr>exercise 3 IF (3)</vt:lpstr>
      <vt:lpstr>exercise 4 function with IF</vt:lpstr>
      <vt:lpstr>exercise 5 logical operation</vt:lpstr>
      <vt:lpstr>Assignments </vt:lpstr>
      <vt:lpstr>exercise 6 VLOOKUP and XLOOKUP</vt:lpstr>
      <vt:lpstr>exercise 7 VLOOKUP TRUE range</vt:lpstr>
      <vt:lpstr>exercise 9 text processing</vt:lpstr>
      <vt:lpstr>Customer_Name</vt:lpstr>
      <vt:lpstr>Order_ID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Phaphontee Yamchote</dc:creator>
  <cp:lastModifiedBy>Phaphontee Yamchote</cp:lastModifiedBy>
  <dcterms:created xsi:type="dcterms:W3CDTF">2025-06-28T06:17:32Z</dcterms:created>
  <dcterms:modified xsi:type="dcterms:W3CDTF">2026-01-08T10:44:26Z</dcterms:modified>
</cp:coreProperties>
</file>